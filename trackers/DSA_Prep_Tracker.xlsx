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How to Use" sheetId="3" state="visible" r:id="rId3"/>
    <sheet xmlns:r="http://schemas.openxmlformats.org/officeDocument/2006/relationships" name="Roadmap" sheetId="4" state="visible" r:id="rId4"/>
    <sheet xmlns:r="http://schemas.openxmlformats.org/officeDocument/2006/relationships" name="Settings" sheetId="5" state="visible" r:id="rId5"/>
  </sheets>
  <definedNames>
    <definedName name="_xlnm._FilterDatabase" localSheetId="1" hidden="1">'Plan'!$A$1:$K$625</definedName>
  </definedNames>
  <calcPr calcId="124519" fullCalcOnLoad="1" iterate="1" iterateCount="50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dd mmm"/>
  </numFmts>
  <fonts count="20">
    <font>
      <name val="Calibri"/>
      <family val="2"/>
      <color theme="1"/>
      <sz val="11"/>
      <scheme val="minor"/>
    </font>
    <font>
      <name val="Arial"/>
      <b val="1"/>
      <color rgb="000B1630"/>
      <sz val="18"/>
    </font>
    <font>
      <name val="Arial"/>
      <color rgb="006B7280"/>
    </font>
    <font>
      <name val="Arial"/>
      <sz val="11"/>
    </font>
    <font>
      <name val="Arial"/>
      <b val="1"/>
      <color rgb="001D4ED8"/>
      <sz val="12"/>
    </font>
    <font>
      <name val="Arial"/>
      <b val="1"/>
      <color rgb="001D4ED8"/>
    </font>
    <font>
      <name val="Arial"/>
      <color rgb="006B7280"/>
      <sz val="9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0B1630"/>
      <sz val="22"/>
    </font>
    <font>
      <name val="Arial"/>
      <color rgb="006B7280"/>
      <sz val="11"/>
    </font>
    <font>
      <name val="Arial"/>
      <b val="1"/>
      <color rgb="001D4ED8"/>
      <sz val="22"/>
    </font>
    <font>
      <name val="Arial"/>
      <b val="1"/>
    </font>
    <font>
      <name val="Arial"/>
      <b val="1"/>
      <color rgb="001D4ED8"/>
      <sz val="14"/>
    </font>
    <font>
      <name val="Arial"/>
      <i val="1"/>
      <color rgb="006B7280"/>
      <sz val="9"/>
    </font>
    <font>
      <name val="Arial"/>
      <b val="1"/>
      <color rgb="000B1630"/>
      <sz val="14"/>
    </font>
    <font>
      <name val="Arial"/>
      <b val="1"/>
      <color rgb="000B1630"/>
      <sz val="12"/>
    </font>
    <font>
      <name val="Arial"/>
      <b val="1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0B1630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2" fillId="0" borderId="1" pivotButton="0" quotePrefix="0" xfId="0"/>
    <xf numFmtId="0" fontId="19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3" fillId="0" borderId="1" pivotButton="0" quotePrefix="0" xfId="0"/>
    <xf numFmtId="0" fontId="6" fillId="0" borderId="1" pivotButton="0" quotePrefix="0" xfId="0"/>
    <xf numFmtId="0" fontId="19" fillId="0" borderId="0" pivotButton="0" quotePrefix="0" xfId="0"/>
    <xf numFmtId="0" fontId="15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0" fontId="8" fillId="0" borderId="0" pivotButton="0" quotePrefix="0" xfId="0"/>
    <xf numFmtId="166" fontId="19" fillId="0" borderId="0" pivotButton="0" quotePrefix="0" xfId="0"/>
    <xf numFmtId="0" fontId="1" fillId="0" borderId="0" pivotButton="0" quotePrefix="0" xfId="0"/>
    <xf numFmtId="0" fontId="16" fillId="0" borderId="0" pivotButton="0" quotePrefix="0" xfId="0"/>
    <xf numFmtId="0" fontId="5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5" fontId="5" fillId="2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strike val="1"/>
        <color rgb="009CA3AF"/>
      </font>
      <fill>
        <patternFill patternType="solid">
          <fgColor rgb="00F3F4F6"/>
        </patternFill>
      </fill>
    </dxf>
    <dxf>
      <font>
        <b val="1"/>
        <color rgb="000B1630"/>
      </font>
      <fill>
        <patternFill patternType="solid">
          <fgColor rgb="00BFD3FF"/>
        </patternFill>
      </fill>
    </dxf>
    <dxf>
      <fill>
        <patternFill patternType="solid">
          <fgColor rgb="00EEF3FF"/>
        </patternFill>
      </fill>
    </dxf>
    <dxf>
      <font>
        <b val="1"/>
        <color rgb="001D4ED8"/>
      </font>
    </dxf>
    <dxf>
      <font>
        <b val="1"/>
        <color rgb="000B1630"/>
      </font>
    </dxf>
    <dxf>
      <font>
        <b val="1"/>
        <color rgb="002563EB"/>
      </font>
    </dxf>
    <dxf>
      <font>
        <b val="1"/>
        <color rgb="00DC2626"/>
      </font>
    </dxf>
    <dxf>
      <font>
        <color rgb="00D97706"/>
      </font>
    </dxf>
    <dxf>
      <font>
        <color rgb="0005966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8" customWidth="1" min="3" max="3"/>
    <col width="12" customWidth="1" min="4" max="4"/>
    <col width="14" customWidth="1" min="5" max="5"/>
    <col width="3" customWidth="1" min="6" max="6"/>
    <col width="3" customWidth="1" min="7" max="7"/>
    <col hidden="1" width="4" customWidth="1" min="8" max="8"/>
    <col hidden="1" width="4" customWidth="1" min="9" max="9"/>
    <col hidden="1" width="4" customWidth="1" min="10" max="10"/>
    <col hidden="1" width="4" customWidth="1" min="11" max="11"/>
  </cols>
  <sheetData>
    <row r="1"/>
    <row r="2">
      <c r="B2" s="1" t="inlineStr">
        <is>
          <t>Today's Practice</t>
        </is>
      </c>
      <c r="E2" s="2">
        <f>Settings!$B$8-TODAY()</f>
        <v/>
      </c>
    </row>
    <row r="3">
      <c r="B3" s="3">
        <f>TEXT(TODAY(),"dddd, d mmmm yyyy")</f>
        <v/>
      </c>
      <c r="E3" s="4" t="inlineStr">
        <is>
          <t>days to placements</t>
        </is>
      </c>
    </row>
    <row r="4"/>
    <row r="5">
      <c r="B5" s="5" t="inlineStr">
        <is>
          <t>Progress</t>
        </is>
      </c>
      <c r="C5" s="5" t="inlineStr"/>
      <c r="D5" s="5" t="inlineStr">
        <is>
          <t>Done</t>
        </is>
      </c>
      <c r="E5" s="5" t="inlineStr">
        <is>
          <t>Total</t>
        </is>
      </c>
    </row>
    <row r="6">
      <c r="B6" s="6" t="inlineStr">
        <is>
          <t>LeetCode</t>
        </is>
      </c>
      <c r="C6" s="7">
        <f>SPARKLINE(D6/E6,{"charttype","bar";"max",1;"color1","#1D4ED8";"empty","zero"})</f>
        <v/>
      </c>
      <c r="D6" s="8">
        <f>COUNTIFS(Plan!$C$2:$C$625,"LeetCode",Plan!$G$2:$G$625,TRUE)</f>
        <v/>
      </c>
      <c r="E6" s="8">
        <f>COUNTIF(Plan!$C$2:$C$625,"LeetCode")</f>
        <v/>
      </c>
    </row>
    <row r="7">
      <c r="B7" s="6" t="inlineStr">
        <is>
          <t>SQL</t>
        </is>
      </c>
      <c r="C7" s="7">
        <f>SPARKLINE(D7/E7,{"charttype","bar";"max",1;"color1","#1D4ED8";"empty","zero"})</f>
        <v/>
      </c>
      <c r="D7" s="8">
        <f>COUNTIFS(Plan!$C$2:$C$625,"SQL",Plan!$G$2:$G$625,TRUE)</f>
        <v/>
      </c>
      <c r="E7" s="8">
        <f>COUNTIF(Plan!$C$2:$C$625,"SQL")</f>
        <v/>
      </c>
    </row>
    <row r="8">
      <c r="B8" s="6" t="inlineStr">
        <is>
          <t>Codeforces</t>
        </is>
      </c>
      <c r="C8" s="7">
        <f>SPARKLINE(D8/E8,{"charttype","bar";"max",1;"color1","#1D4ED8";"empty","zero"})</f>
        <v/>
      </c>
      <c r="D8" s="8">
        <f>COUNTIFS(Plan!$C$2:$C$625,"Codeforces",Plan!$G$2:$G$625,TRUE)</f>
        <v/>
      </c>
      <c r="E8" s="8">
        <f>COUNTIF(Plan!$C$2:$C$625,"Codeforces")</f>
        <v/>
      </c>
    </row>
    <row r="9">
      <c r="B9" s="9" t="inlineStr">
        <is>
          <t>Solved today</t>
        </is>
      </c>
      <c r="D9" s="10">
        <f>COUNTIF(Plan!$H$2:$H$625,TODAY())</f>
        <v/>
      </c>
    </row>
    <row r="10"/>
    <row r="11">
      <c r="B11" s="11" t="inlineStr">
        <is>
          <t>▶ Do these today</t>
        </is>
      </c>
      <c r="C11" s="12" t="inlineStr">
        <is>
          <t>Tick them in the Plan tab. Finish early? Keep going in Plan: tomorrow's problems slide up.</t>
        </is>
      </c>
    </row>
    <row r="12">
      <c r="B12" s="13" t="inlineStr">
        <is>
          <t>Track</t>
        </is>
      </c>
      <c r="C12" s="13" t="inlineStr">
        <is>
          <t>Problem (click to open)</t>
        </is>
      </c>
      <c r="D12" s="13" t="inlineStr">
        <is>
          <t>Level</t>
        </is>
      </c>
      <c r="E12" s="13" t="inlineStr">
        <is>
          <t>Phase</t>
        </is>
      </c>
    </row>
    <row r="13">
      <c r="B13" s="14">
        <f>ARRAYFORMULA(IF(H13:H24="","",H13:H24))</f>
        <v/>
      </c>
      <c r="C13" s="14">
        <f>ARRAYFORMULA(IF(K13:K24="","",HYPERLINK(IF(LEFT(K13:K24,4)="http",K13:K24,"https://leetcode.com/problems/"&amp;K13:K24&amp;"/"),I13:I24)))</f>
        <v/>
      </c>
      <c r="D13" s="14">
        <f>ARRAYFORMULA(IF(J13:J24="","",J13:J24))</f>
        <v/>
      </c>
      <c r="E13" s="15">
        <f>IFERROR(INDEX(Plan!F2:F625,MATCH("▶ Today",Plan!B2:B625,0)),"")</f>
        <v/>
      </c>
      <c r="H13" s="16">
        <f>IFERROR(ARRAY_CONSTRAIN(FILTER({Plan!C2:C625,Plan!D2:D625,Plan!E2:E625,Plan!L2:L625},Plan!B2:B625="▶ Today"),12,4),"🎉 All done for today. Do extra in Plan if you have time.")</f>
        <v/>
      </c>
    </row>
    <row r="14">
      <c r="B14" s="14" t="n"/>
      <c r="C14" s="14" t="n"/>
      <c r="D14" s="14" t="n"/>
      <c r="E14" s="14" t="n"/>
    </row>
    <row r="15">
      <c r="B15" s="14" t="n"/>
      <c r="C15" s="14" t="n"/>
      <c r="D15" s="14" t="n"/>
      <c r="E15" s="14" t="n"/>
    </row>
    <row r="16">
      <c r="B16" s="14" t="n"/>
      <c r="C16" s="14" t="n"/>
      <c r="D16" s="14" t="n"/>
      <c r="E16" s="14" t="n"/>
    </row>
    <row r="17">
      <c r="B17" s="14" t="n"/>
      <c r="C17" s="14" t="n"/>
      <c r="D17" s="14" t="n"/>
      <c r="E17" s="14" t="n"/>
    </row>
    <row r="18">
      <c r="B18" s="14" t="n"/>
      <c r="C18" s="14" t="n"/>
      <c r="D18" s="14" t="n"/>
      <c r="E18" s="14" t="n"/>
    </row>
    <row r="19">
      <c r="B19" s="14" t="n"/>
      <c r="C19" s="14" t="n"/>
      <c r="D19" s="14" t="n"/>
      <c r="E19" s="14" t="n"/>
    </row>
    <row r="20">
      <c r="B20" s="14" t="n"/>
      <c r="C20" s="14" t="n"/>
      <c r="D20" s="14" t="n"/>
      <c r="E20" s="14" t="n"/>
    </row>
    <row r="21">
      <c r="B21" s="14" t="n"/>
      <c r="C21" s="14" t="n"/>
      <c r="D21" s="14" t="n"/>
      <c r="E21" s="14" t="n"/>
    </row>
    <row r="22">
      <c r="B22" s="14" t="n"/>
      <c r="C22" s="14" t="n"/>
      <c r="D22" s="14" t="n"/>
      <c r="E22" s="14" t="n"/>
    </row>
    <row r="23">
      <c r="B23" s="14" t="n"/>
      <c r="C23" s="14" t="n"/>
      <c r="D23" s="14" t="n"/>
      <c r="E23" s="14" t="n"/>
    </row>
    <row r="24">
      <c r="B24" s="14" t="n"/>
      <c r="C24" s="14" t="n"/>
      <c r="D24" s="14" t="n"/>
      <c r="E24" s="14" t="n"/>
    </row>
    <row r="25"/>
    <row r="26">
      <c r="B26" s="17" t="inlineStr">
        <is>
          <t>↻ Revisit today (redo from memory)</t>
        </is>
      </c>
      <c r="C26" s="12" t="inlineStr">
        <is>
          <t>Problems you needed help on, coming back 3, 7 and 21 days after you solved them.</t>
        </is>
      </c>
    </row>
    <row r="27">
      <c r="B27" s="5" t="inlineStr">
        <is>
          <t>Track</t>
        </is>
      </c>
      <c r="C27" s="5" t="inlineStr">
        <is>
          <t>Problem (click to open)</t>
        </is>
      </c>
      <c r="D27" s="5" t="inlineStr">
        <is>
          <t>Help used</t>
        </is>
      </c>
      <c r="E27" s="5" t="inlineStr">
        <is>
          <t>Solved on</t>
        </is>
      </c>
    </row>
    <row r="28">
      <c r="B28" s="7">
        <f>ARRAYFORMULA(IF(H28:H40="","",H28:H40))</f>
        <v/>
      </c>
      <c r="C28" s="7">
        <f>ARRAYFORMULA(IF(K28:K40="","",HYPERLINK(IF(LEFT(K28:K40,4)="http",K28:K40,"https://leetcode.com/problems/"&amp;K28:K40&amp;"/"),I28:I40)))</f>
        <v/>
      </c>
      <c r="D28" s="7">
        <f>ARRAYFORMULA(IF(J28:J40="","",J28:J40))</f>
        <v/>
      </c>
      <c r="E28" s="18" t="n"/>
      <c r="H28" s="16">
        <f>IFERROR(ARRAY_CONSTRAIN(FILTER({Plan!C2:C625,Plan!D2:D625,Plan!I2:I625,Plan!L2:L625},((Plan!I2:I625="Hint")+(Plan!I2:I625="Editorial"))*((IFERROR(TODAY()-Plan!H2:H625,0)=3)+(IFERROR(TODAY()-Plan!H2:H625,0)=7)+(IFERROR(TODAY()-Plan!H2:H625,0)=21))),13,4),"Nothing to revisit today.")</f>
        <v/>
      </c>
    </row>
    <row r="29">
      <c r="B29" s="18" t="n"/>
      <c r="C29" s="18" t="n"/>
      <c r="D29" s="18" t="n"/>
      <c r="E29" s="18" t="n"/>
    </row>
    <row r="30">
      <c r="B30" s="18" t="n"/>
      <c r="C30" s="18" t="n"/>
      <c r="D30" s="18" t="n"/>
      <c r="E30" s="18" t="n"/>
    </row>
    <row r="31">
      <c r="B31" s="18" t="n"/>
      <c r="C31" s="18" t="n"/>
      <c r="D31" s="18" t="n"/>
      <c r="E31" s="18" t="n"/>
    </row>
    <row r="32">
      <c r="B32" s="18" t="n"/>
      <c r="C32" s="18" t="n"/>
      <c r="D32" s="18" t="n"/>
      <c r="E32" s="18" t="n"/>
    </row>
    <row r="33">
      <c r="B33" s="18" t="n"/>
      <c r="C33" s="18" t="n"/>
      <c r="D33" s="18" t="n"/>
      <c r="E33" s="18" t="n"/>
    </row>
    <row r="34">
      <c r="B34" s="18" t="n"/>
      <c r="C34" s="18" t="n"/>
      <c r="D34" s="18" t="n"/>
      <c r="E34" s="18" t="n"/>
    </row>
    <row r="35">
      <c r="B35" s="18" t="n"/>
      <c r="C35" s="18" t="n"/>
      <c r="D35" s="18" t="n"/>
      <c r="E35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630"/>
    <outlinePr summaryBelow="1" summaryRight="1"/>
    <pageSetUpPr/>
  </sheetPr>
  <dimension ref="A1:O6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19" min="1" max="1"/>
    <col width="13" customWidth="1" min="2" max="2"/>
    <col width="12" customWidth="1" min="3" max="3"/>
    <col width="52" customWidth="1" min="4" max="4"/>
    <col width="10" customWidth="1" min="5" max="5"/>
    <col width="19" customWidth="1" min="6" max="6"/>
    <col width="7" customWidth="1" min="7" max="7"/>
    <col width="10" customWidth="1" style="19" min="8" max="8"/>
    <col width="13" customWidth="1" min="9" max="9"/>
    <col width="40" customWidth="1" min="10" max="10"/>
    <col width="22" customWidth="1" style="20" min="11" max="11"/>
    <col hidden="1" width="4" customWidth="1" min="12" max="12"/>
    <col hidden="1" width="4" customWidth="1" min="13" max="13"/>
    <col hidden="1" width="4" customWidth="1" min="14" max="14"/>
    <col hidden="1" width="4" customWidth="1" min="15" max="15"/>
  </cols>
  <sheetData>
    <row r="1" ht="28" customHeight="1">
      <c r="A1" s="5" t="inlineStr">
        <is>
          <t>Due</t>
        </is>
      </c>
      <c r="B1" s="5" t="inlineStr">
        <is>
          <t>Status</t>
        </is>
      </c>
      <c r="C1" s="5" t="inlineStr">
        <is>
          <t>Track</t>
        </is>
      </c>
      <c r="D1" s="5" t="inlineStr">
        <is>
          <t>Problem  (click to open)</t>
        </is>
      </c>
      <c r="E1" s="5" t="inlineStr">
        <is>
          <t>Level</t>
        </is>
      </c>
      <c r="F1" s="5" t="inlineStr">
        <is>
          <t>Phase</t>
        </is>
      </c>
      <c r="G1" s="5" t="inlineStr">
        <is>
          <t>Done</t>
        </is>
      </c>
      <c r="H1" s="5" t="inlineStr">
        <is>
          <t>Done on</t>
        </is>
      </c>
      <c r="I1" s="5" t="inlineStr">
        <is>
          <t>Needed help?</t>
        </is>
      </c>
      <c r="J1" s="5" t="inlineStr">
        <is>
          <t>Key insight (1 line)</t>
        </is>
      </c>
      <c r="K1" s="5" t="inlineStr">
        <is>
          <t>Topic (spoiler)</t>
        </is>
      </c>
      <c r="L1" s="5" t="inlineStr">
        <is>
          <t>url</t>
        </is>
      </c>
      <c r="M1" s="5" t="inlineStr">
        <is>
          <t>title</t>
        </is>
      </c>
      <c r="N1" s="5" t="inlineStr">
        <is>
          <t>slot</t>
        </is>
      </c>
      <c r="O1" s="5" t="inlineStr">
        <is>
          <t>quota</t>
        </is>
      </c>
    </row>
    <row r="2">
      <c r="A2" s="21">
        <f>ARRAYFORMULA(IF(C2:C625="","",IF(G2:G625=TRUE,H2:H625,IF(C2:C625="Codeforces",IF(((TODAY()-WEEKDAY(TODAY(),2)+1)+5+7*INT(N2:N625/O2:O625))&lt;TODAY(),TODAY(),((TODAY()-WEEKDAY(TODAY(),2)+1)+5+7*INT(N2:N625/O2:O625))),TODAY()+INT(N2:N625/O2:O625)))))</f>
        <v/>
      </c>
      <c r="B2" s="16">
        <f>ARRAYFORMULA(IF(C2:C625="","",IF(G2:G625=TRUE,"✓ Done",IF(A2:A625=TODAY(),"▶ Today",IF(A2:A625=TODAY()+1,"Tomorrow",TEXT(A2:A625,"ddd, dd mmm"))))))</f>
        <v/>
      </c>
      <c r="C2" s="16" t="inlineStr">
        <is>
          <t>LeetCode</t>
        </is>
      </c>
      <c r="D2" s="16">
        <f>ARRAYFORMULA(IF(L2:L625="","",HYPERLINK(IF(LEFT(L2:L625,4)="http",L2:L625,"https://leetcode.com/problems/"&amp;L2:L625&amp;"/"),IF(M2:M625="",PROPER(SUBSTITUTE(L2:L625,"-"," ")),M2:M625))))</f>
        <v/>
      </c>
      <c r="E2" s="16" t="inlineStr">
        <is>
          <t>Medium</t>
        </is>
      </c>
      <c r="F2" s="16">
        <f>ARRAYFORMULA(IF(C2:C625="","",IF(ROW(C2:C625)&lt;220,"1 · Unseen Mediums",IF(ROW(C2:C625)&lt;427,"2 · Medium-Hard",IF(ROW(C2:C625)&lt;577,"3 · OA Simulation","4 · Revision")))))</f>
        <v/>
      </c>
      <c r="H2" s="21">
        <f>IF(G2=TRUE,IF(H2="",TODAY(),H2),"")</f>
        <v/>
      </c>
      <c r="K2" s="16" t="inlineStr">
        <is>
          <t>Backtracking, Tree</t>
        </is>
      </c>
      <c r="L2" s="16" t="inlineStr">
        <is>
          <t>path-sum-ii</t>
        </is>
      </c>
      <c r="M2" s="16" t="inlineStr">
        <is>
          <t>Path Sum II</t>
        </is>
      </c>
      <c r="N2" s="16">
        <f>ARRAYFORMULA(IF(G2:G625=TRUE,"",MMULT((C2:C625=TRANSPOSE(C2:C625))*(ROW(C2:C625)&gt;=TRANSPOSE(ROW(C2:C625)))*(TRANSPOSE(G2:G625)&lt;&gt;TRUE),SIGN(ROW(C2:C625)))-1+IF(C2:C625="Codeforces",COUNTIFS(C2:C625,"Codeforces",H2:H625,"&gt;="&amp;(TODAY()-WEEKDAY(TODAY(),2)+1)),MMULT((C2:C625=TRANSPOSE(C2:C625))*IFERROR(TRANSPOSE(H2:H625)=TODAY(),FALSE),SIGN(ROW(C2:C625))))))</f>
        <v/>
      </c>
      <c r="O2" s="16">
        <f>ARRAYFORMULA(IF(C2:C625="LeetCode",Settings!$B$4,IF(C2:C625="SQL",Settings!$B$5,Settings!$B$6)))</f>
        <v/>
      </c>
    </row>
    <row r="3">
      <c r="C3" s="16" t="inlineStr">
        <is>
          <t>LeetCode</t>
        </is>
      </c>
      <c r="E3" s="16" t="inlineStr">
        <is>
          <t>Medium</t>
        </is>
      </c>
      <c r="H3" s="21">
        <f>IF(G3=TRUE,IF(H3="",TODAY(),H3),"")</f>
        <v/>
      </c>
      <c r="K3" s="16" t="inlineStr">
        <is>
          <t>Array, Hash Table</t>
        </is>
      </c>
      <c r="L3" s="16" t="inlineStr">
        <is>
          <t>count-triplets-that-can-form-two-arrays-of-equal-xor</t>
        </is>
      </c>
    </row>
    <row r="4">
      <c r="C4" s="16" t="inlineStr">
        <is>
          <t>SQL</t>
        </is>
      </c>
      <c r="E4" s="16" t="inlineStr">
        <is>
          <t>Easy</t>
        </is>
      </c>
      <c r="H4" s="21">
        <f>IF(G4=TRUE,IF(H4="",TODAY(),H4),"")</f>
        <v/>
      </c>
      <c r="K4" s="16" t="inlineStr">
        <is>
          <t>SQL</t>
        </is>
      </c>
      <c r="L4" s="16" t="inlineStr">
        <is>
          <t>combine-two-tables</t>
        </is>
      </c>
    </row>
    <row r="5">
      <c r="C5" s="16" t="inlineStr">
        <is>
          <t>LeetCode</t>
        </is>
      </c>
      <c r="E5" s="16" t="inlineStr">
        <is>
          <t>Medium</t>
        </is>
      </c>
      <c r="H5" s="21">
        <f>IF(G5=TRUE,IF(H5="",TODAY(),H5),"")</f>
        <v/>
      </c>
      <c r="K5" s="16" t="inlineStr">
        <is>
          <t>Array, Hash Table</t>
        </is>
      </c>
      <c r="L5" s="16" t="inlineStr">
        <is>
          <t>longest-well-performing-interval</t>
        </is>
      </c>
    </row>
    <row r="6">
      <c r="C6" s="16" t="inlineStr">
        <is>
          <t>LeetCode</t>
        </is>
      </c>
      <c r="E6" s="16" t="inlineStr">
        <is>
          <t>Medium</t>
        </is>
      </c>
      <c r="H6" s="21">
        <f>IF(G6=TRUE,IF(H6="",TODAY(),H6),"")</f>
        <v/>
      </c>
      <c r="K6" s="16" t="inlineStr">
        <is>
          <t>Array, Stack</t>
        </is>
      </c>
      <c r="L6" s="16" t="inlineStr">
        <is>
          <t>construct-binary-search-tree-from-preorder-traversal</t>
        </is>
      </c>
    </row>
    <row r="7">
      <c r="C7" s="16" t="inlineStr">
        <is>
          <t>SQL</t>
        </is>
      </c>
      <c r="E7" s="16" t="inlineStr">
        <is>
          <t>Easy</t>
        </is>
      </c>
      <c r="H7" s="21">
        <f>IF(G7=TRUE,IF(H7="",TODAY(),H7),"")</f>
        <v/>
      </c>
      <c r="K7" s="16" t="inlineStr">
        <is>
          <t>SQL</t>
        </is>
      </c>
      <c r="L7" s="16" t="inlineStr">
        <is>
          <t>rising-temperature</t>
        </is>
      </c>
    </row>
    <row r="8">
      <c r="C8" s="16" t="inlineStr">
        <is>
          <t>Codeforces</t>
        </is>
      </c>
      <c r="E8" s="16" t="inlineStr">
        <is>
          <t>CF 1200</t>
        </is>
      </c>
      <c r="H8" s="21">
        <f>IF(G8=TRUE,IF(H8="",TODAY(),H8),"")</f>
        <v/>
      </c>
      <c r="K8" s="16" t="inlineStr">
        <is>
          <t>greedy</t>
        </is>
      </c>
      <c r="L8" s="16" t="inlineStr">
        <is>
          <t>https://codeforces.com/problemset?order=BY_SOLVED_DESC&amp;tags=greedy,1200-1200</t>
        </is>
      </c>
      <c r="M8" s="16" t="inlineStr">
        <is>
          <t>Most-solved unsolved: greedy · 1200</t>
        </is>
      </c>
    </row>
    <row r="9">
      <c r="C9" s="16" t="inlineStr">
        <is>
          <t>Codeforces</t>
        </is>
      </c>
      <c r="E9" s="16" t="inlineStr">
        <is>
          <t>CF 1300</t>
        </is>
      </c>
      <c r="H9" s="21">
        <f>IF(G9=TRUE,IF(H9="",TODAY(),H9),"")</f>
        <v/>
      </c>
      <c r="K9" s="16" t="inlineStr">
        <is>
          <t>constructive algorithms</t>
        </is>
      </c>
      <c r="L9" s="16" t="inlineStr">
        <is>
          <t>https://codeforces.com/problemset?order=BY_SOLVED_DESC&amp;tags=constructive%20algorithms,1300-1300</t>
        </is>
      </c>
      <c r="M9" s="16" t="inlineStr">
        <is>
          <t>Most-solved unsolved: constructive algorithms · 1300</t>
        </is>
      </c>
    </row>
    <row r="10">
      <c r="C10" s="16" t="inlineStr">
        <is>
          <t>LeetCode</t>
        </is>
      </c>
      <c r="E10" s="16" t="inlineStr">
        <is>
          <t>Medium</t>
        </is>
      </c>
      <c r="H10" s="21">
        <f>IF(G10=TRUE,IF(H10="",TODAY(),H10),"")</f>
        <v/>
      </c>
      <c r="K10" s="16" t="inlineStr">
        <is>
          <t>Array, Hash Table</t>
        </is>
      </c>
      <c r="L10" s="16" t="inlineStr">
        <is>
          <t>construct-binary-tree-from-preorder-and-postorder-traversal</t>
        </is>
      </c>
    </row>
    <row r="11">
      <c r="C11" s="16" t="inlineStr">
        <is>
          <t>LeetCode</t>
        </is>
      </c>
      <c r="E11" s="16" t="inlineStr">
        <is>
          <t>Medium</t>
        </is>
      </c>
      <c r="H11" s="21">
        <f>IF(G11=TRUE,IF(H11="",TODAY(),H11),"")</f>
        <v/>
      </c>
      <c r="K11" s="16" t="inlineStr">
        <is>
          <t>Array, Sliding Window</t>
        </is>
      </c>
      <c r="L11" s="16" t="inlineStr">
        <is>
          <t>grumpy-bookstore-owner</t>
        </is>
      </c>
    </row>
    <row r="12">
      <c r="C12" s="16" t="inlineStr">
        <is>
          <t>SQL</t>
        </is>
      </c>
      <c r="E12" s="16" t="inlineStr">
        <is>
          <t>Easy</t>
        </is>
      </c>
      <c r="H12" s="21">
        <f>IF(G12=TRUE,IF(H12="",TODAY(),H12),"")</f>
        <v/>
      </c>
      <c r="K12" s="16" t="inlineStr">
        <is>
          <t>SQL</t>
        </is>
      </c>
      <c r="L12" s="16" t="inlineStr">
        <is>
          <t>customer-who-visited-but-did-not-make-any-transactions</t>
        </is>
      </c>
    </row>
    <row r="13">
      <c r="C13" s="16" t="inlineStr">
        <is>
          <t>LeetCode</t>
        </is>
      </c>
      <c r="E13" s="16" t="inlineStr">
        <is>
          <t>Medium</t>
        </is>
      </c>
      <c r="H13" s="21">
        <f>IF(G13=TRUE,IF(H13="",TODAY(),H13),"")</f>
        <v/>
      </c>
      <c r="K13" s="16" t="inlineStr">
        <is>
          <t>Linked List, Divide and Conquer</t>
        </is>
      </c>
      <c r="L13" s="16" t="inlineStr">
        <is>
          <t>convert-sorted-list-to-binary-search-tree</t>
        </is>
      </c>
    </row>
    <row r="14">
      <c r="C14" s="16" t="inlineStr">
        <is>
          <t>LeetCode</t>
        </is>
      </c>
      <c r="E14" s="16" t="inlineStr">
        <is>
          <t>Medium</t>
        </is>
      </c>
      <c r="H14" s="21">
        <f>IF(G14=TRUE,IF(H14="",TODAY(),H14),"")</f>
        <v/>
      </c>
      <c r="K14" s="16" t="inlineStr">
        <is>
          <t>Array, Two Pointers</t>
        </is>
      </c>
      <c r="L14" s="16" t="inlineStr">
        <is>
          <t>valid-triangle-number</t>
        </is>
      </c>
    </row>
    <row r="15">
      <c r="C15" s="16" t="inlineStr">
        <is>
          <t>SQL</t>
        </is>
      </c>
      <c r="E15" s="16" t="inlineStr">
        <is>
          <t>Easy</t>
        </is>
      </c>
      <c r="H15" s="21">
        <f>IF(G15=TRUE,IF(H15="",TODAY(),H15),"")</f>
        <v/>
      </c>
      <c r="K15" s="16" t="inlineStr">
        <is>
          <t>SQL</t>
        </is>
      </c>
      <c r="L15" s="16" t="inlineStr">
        <is>
          <t>recyclable-and-low-fat-products</t>
        </is>
      </c>
    </row>
    <row r="16">
      <c r="C16" s="16" t="inlineStr">
        <is>
          <t>LeetCode</t>
        </is>
      </c>
      <c r="E16" s="16" t="inlineStr">
        <is>
          <t>Medium</t>
        </is>
      </c>
      <c r="H16" s="21">
        <f>IF(G16=TRUE,IF(H16="",TODAY(),H16),"")</f>
        <v/>
      </c>
      <c r="K16" s="16" t="inlineStr">
        <is>
          <t>Hash Table, String</t>
        </is>
      </c>
      <c r="L16" s="16" t="inlineStr">
        <is>
          <t>minimum-number-of-steps-to-make-two-strings-anagram</t>
        </is>
      </c>
    </row>
    <row r="17">
      <c r="C17" s="16" t="inlineStr">
        <is>
          <t>LeetCode</t>
        </is>
      </c>
      <c r="E17" s="16" t="inlineStr">
        <is>
          <t>Medium</t>
        </is>
      </c>
      <c r="H17" s="21">
        <f>IF(G17=TRUE,IF(H17="",TODAY(),H17),"")</f>
        <v/>
      </c>
      <c r="K17" s="16" t="inlineStr">
        <is>
          <t>Hash Table, Tree</t>
        </is>
      </c>
      <c r="L17" s="16" t="inlineStr">
        <is>
          <t>all-nodes-distance-k-in-binary-tree</t>
        </is>
      </c>
    </row>
    <row r="18">
      <c r="C18" s="16" t="inlineStr">
        <is>
          <t>SQL</t>
        </is>
      </c>
      <c r="E18" s="16" t="inlineStr">
        <is>
          <t>Easy</t>
        </is>
      </c>
      <c r="H18" s="21">
        <f>IF(G18=TRUE,IF(H18="",TODAY(),H18),"")</f>
        <v/>
      </c>
      <c r="K18" s="16" t="inlineStr">
        <is>
          <t>SQL</t>
        </is>
      </c>
      <c r="L18" s="16" t="inlineStr">
        <is>
          <t>big-countries</t>
        </is>
      </c>
    </row>
    <row r="19">
      <c r="C19" s="16" t="inlineStr">
        <is>
          <t>LeetCode</t>
        </is>
      </c>
      <c r="E19" s="16" t="inlineStr">
        <is>
          <t>Medium</t>
        </is>
      </c>
      <c r="H19" s="21">
        <f>IF(G19=TRUE,IF(H19="",TODAY(),H19),"")</f>
        <v/>
      </c>
      <c r="K19" s="16" t="inlineStr">
        <is>
          <t>Hash Table, Tree</t>
        </is>
      </c>
      <c r="L19" s="16" t="inlineStr">
        <is>
          <t>most-frequent-subtree-sum</t>
        </is>
      </c>
    </row>
    <row r="20">
      <c r="C20" s="16" t="inlineStr">
        <is>
          <t>LeetCode</t>
        </is>
      </c>
      <c r="E20" s="16" t="inlineStr">
        <is>
          <t>Medium</t>
        </is>
      </c>
      <c r="H20" s="21">
        <f>IF(G20=TRUE,IF(H20="",TODAY(),H20),"")</f>
        <v/>
      </c>
      <c r="K20" s="16" t="inlineStr">
        <is>
          <t>Math, Bit Manipulation</t>
        </is>
      </c>
      <c r="L20" s="16" t="inlineStr">
        <is>
          <t>k-th-symbol-in-grammar</t>
        </is>
      </c>
    </row>
    <row r="21">
      <c r="C21" s="16" t="inlineStr">
        <is>
          <t>SQL</t>
        </is>
      </c>
      <c r="E21" s="16" t="inlineStr">
        <is>
          <t>Easy</t>
        </is>
      </c>
      <c r="H21" s="21">
        <f>IF(G21=TRUE,IF(H21="",TODAY(),H21),"")</f>
        <v/>
      </c>
      <c r="K21" s="16" t="inlineStr">
        <is>
          <t>SQL</t>
        </is>
      </c>
      <c r="L21" s="16" t="inlineStr">
        <is>
          <t>employees-earning-more-than-their-managers</t>
        </is>
      </c>
    </row>
    <row r="22">
      <c r="C22" s="16" t="inlineStr">
        <is>
          <t>LeetCode</t>
        </is>
      </c>
      <c r="E22" s="16" t="inlineStr">
        <is>
          <t>Medium</t>
        </is>
      </c>
      <c r="H22" s="21">
        <f>IF(G22=TRUE,IF(H22="",TODAY(),H22),"")</f>
        <v/>
      </c>
      <c r="K22" s="16" t="inlineStr">
        <is>
          <t>Array, Hash Table</t>
        </is>
      </c>
      <c r="L22" s="16" t="inlineStr">
        <is>
          <t>make-sum-divisible-by-p</t>
        </is>
      </c>
    </row>
    <row r="23">
      <c r="C23" s="16" t="inlineStr">
        <is>
          <t>LeetCode</t>
        </is>
      </c>
      <c r="E23" s="16" t="inlineStr">
        <is>
          <t>Medium</t>
        </is>
      </c>
      <c r="H23" s="21">
        <f>IF(G23=TRUE,IF(H23="",TODAY(),H23),"")</f>
        <v/>
      </c>
      <c r="K23" s="16" t="inlineStr">
        <is>
          <t>Linked List, Math</t>
        </is>
      </c>
      <c r="L23" s="16" t="inlineStr">
        <is>
          <t>double-a-number-represented-as-a-linked-list</t>
        </is>
      </c>
    </row>
    <row r="24">
      <c r="C24" s="16" t="inlineStr">
        <is>
          <t>SQL</t>
        </is>
      </c>
      <c r="E24" s="16" t="inlineStr">
        <is>
          <t>Easy</t>
        </is>
      </c>
      <c r="H24" s="21">
        <f>IF(G24=TRUE,IF(H24="",TODAY(),H24),"")</f>
        <v/>
      </c>
      <c r="K24" s="16" t="inlineStr">
        <is>
          <t>SQL</t>
        </is>
      </c>
      <c r="L24" s="16" t="inlineStr">
        <is>
          <t>students-and-examinations</t>
        </is>
      </c>
    </row>
    <row r="25">
      <c r="C25" s="16" t="inlineStr">
        <is>
          <t>LeetCode</t>
        </is>
      </c>
      <c r="E25" s="16" t="inlineStr">
        <is>
          <t>Medium</t>
        </is>
      </c>
      <c r="H25" s="21">
        <f>IF(G25=TRUE,IF(H25="",TODAY(),H25),"")</f>
        <v/>
      </c>
      <c r="K25" s="16" t="inlineStr">
        <is>
          <t>Array, Matrix</t>
        </is>
      </c>
      <c r="L25" s="16" t="inlineStr">
        <is>
          <t>where-will-the-ball-fall</t>
        </is>
      </c>
    </row>
    <row r="26">
      <c r="C26" s="16" t="inlineStr">
        <is>
          <t>LeetCode</t>
        </is>
      </c>
      <c r="E26" s="16" t="inlineStr">
        <is>
          <t>Medium</t>
        </is>
      </c>
      <c r="H26" s="21">
        <f>IF(G26=TRUE,IF(H26="",TODAY(),H26),"")</f>
        <v/>
      </c>
      <c r="K26" s="16" t="inlineStr">
        <is>
          <t>Tree, Breadth-First Search</t>
        </is>
      </c>
      <c r="L26" s="16" t="inlineStr">
        <is>
          <t>kth-largest-sum-in-a-binary-tree</t>
        </is>
      </c>
    </row>
    <row r="27">
      <c r="C27" s="16" t="inlineStr">
        <is>
          <t>SQL</t>
        </is>
      </c>
      <c r="E27" s="16" t="inlineStr">
        <is>
          <t>Easy</t>
        </is>
      </c>
      <c r="H27" s="21">
        <f>IF(G27=TRUE,IF(H27="",TODAY(),H27),"")</f>
        <v/>
      </c>
      <c r="K27" s="16" t="inlineStr">
        <is>
          <t>SQL</t>
        </is>
      </c>
      <c r="L27" s="16" t="inlineStr">
        <is>
          <t>customers-who-never-order</t>
        </is>
      </c>
    </row>
    <row r="28">
      <c r="C28" s="16" t="inlineStr">
        <is>
          <t>LeetCode</t>
        </is>
      </c>
      <c r="E28" s="16" t="inlineStr">
        <is>
          <t>Medium</t>
        </is>
      </c>
      <c r="H28" s="21">
        <f>IF(G28=TRUE,IF(H28="",TODAY(),H28),"")</f>
        <v/>
      </c>
      <c r="K28" s="16" t="inlineStr">
        <is>
          <t>Tree, Depth-First Search</t>
        </is>
      </c>
      <c r="L28" s="16" t="inlineStr">
        <is>
          <t>delete-leaves-with-a-given-value</t>
        </is>
      </c>
    </row>
    <row r="29">
      <c r="C29" s="16" t="inlineStr">
        <is>
          <t>LeetCode</t>
        </is>
      </c>
      <c r="E29" s="16" t="inlineStr">
        <is>
          <t>Medium</t>
        </is>
      </c>
      <c r="H29" s="21">
        <f>IF(G29=TRUE,IF(H29="",TODAY(),H29),"")</f>
        <v/>
      </c>
      <c r="K29" s="16" t="inlineStr">
        <is>
          <t>Tree, Depth-First Search</t>
        </is>
      </c>
      <c r="L29" s="16" t="inlineStr">
        <is>
          <t>number-of-good-leaf-nodes-pairs</t>
        </is>
      </c>
    </row>
    <row r="30">
      <c r="C30" s="16" t="inlineStr">
        <is>
          <t>SQL</t>
        </is>
      </c>
      <c r="E30" s="16" t="inlineStr">
        <is>
          <t>Easy</t>
        </is>
      </c>
      <c r="H30" s="21">
        <f>IF(G30=TRUE,IF(H30="",TODAY(),H30),"")</f>
        <v/>
      </c>
      <c r="K30" s="16" t="inlineStr">
        <is>
          <t>SQL</t>
        </is>
      </c>
      <c r="L30" s="16" t="inlineStr">
        <is>
          <t>find-customer-referee</t>
        </is>
      </c>
    </row>
    <row r="31">
      <c r="C31" s="16" t="inlineStr">
        <is>
          <t>Codeforces</t>
        </is>
      </c>
      <c r="E31" s="16" t="inlineStr">
        <is>
          <t>CF 1200</t>
        </is>
      </c>
      <c r="H31" s="21">
        <f>IF(G31=TRUE,IF(H31="",TODAY(),H31),"")</f>
        <v/>
      </c>
      <c r="K31" s="16" t="inlineStr">
        <is>
          <t>math</t>
        </is>
      </c>
      <c r="L31" s="16" t="inlineStr">
        <is>
          <t>https://codeforces.com/problemset?order=BY_SOLVED_DESC&amp;tags=math,1200-1200</t>
        </is>
      </c>
      <c r="M31" s="16" t="inlineStr">
        <is>
          <t>Most-solved unsolved: math · 1200</t>
        </is>
      </c>
    </row>
    <row r="32">
      <c r="C32" s="16" t="inlineStr">
        <is>
          <t>Codeforces</t>
        </is>
      </c>
      <c r="E32" s="16" t="inlineStr">
        <is>
          <t>CF 1300</t>
        </is>
      </c>
      <c r="H32" s="21">
        <f>IF(G32=TRUE,IF(H32="",TODAY(),H32),"")</f>
        <v/>
      </c>
      <c r="K32" s="16" t="inlineStr">
        <is>
          <t>implementation</t>
        </is>
      </c>
      <c r="L32" s="16" t="inlineStr">
        <is>
          <t>https://codeforces.com/problemset?order=BY_SOLVED_DESC&amp;tags=implementation,1300-1300</t>
        </is>
      </c>
      <c r="M32" s="16" t="inlineStr">
        <is>
          <t>Most-solved unsolved: implementation · 1300</t>
        </is>
      </c>
    </row>
    <row r="33">
      <c r="C33" s="16" t="inlineStr">
        <is>
          <t>LeetCode</t>
        </is>
      </c>
      <c r="E33" s="16" t="inlineStr">
        <is>
          <t>Medium</t>
        </is>
      </c>
      <c r="H33" s="21">
        <f>IF(G33=TRUE,IF(H33="",TODAY(),H33),"")</f>
        <v/>
      </c>
      <c r="K33" s="16" t="inlineStr">
        <is>
          <t>Math, Binary Search</t>
        </is>
      </c>
      <c r="L33" s="16" t="inlineStr">
        <is>
          <t>maximum-value-at-a-given-index-in-a-bounded-array</t>
        </is>
      </c>
    </row>
    <row r="34">
      <c r="C34" s="16" t="inlineStr">
        <is>
          <t>LeetCode</t>
        </is>
      </c>
      <c r="E34" s="16" t="inlineStr">
        <is>
          <t>Medium</t>
        </is>
      </c>
      <c r="H34" s="21">
        <f>IF(G34=TRUE,IF(H34="",TODAY(),H34),"")</f>
        <v/>
      </c>
      <c r="K34" s="16" t="inlineStr">
        <is>
          <t>Math, String</t>
        </is>
      </c>
      <c r="L34" s="16" t="inlineStr">
        <is>
          <t>number-of-substrings-with-only-1s</t>
        </is>
      </c>
    </row>
    <row r="35">
      <c r="C35" s="16" t="inlineStr">
        <is>
          <t>SQL</t>
        </is>
      </c>
      <c r="E35" s="16" t="inlineStr">
        <is>
          <t>Easy</t>
        </is>
      </c>
      <c r="H35" s="21">
        <f>IF(G35=TRUE,IF(H35="",TODAY(),H35),"")</f>
        <v/>
      </c>
      <c r="K35" s="16" t="inlineStr">
        <is>
          <t>SQL</t>
        </is>
      </c>
      <c r="L35" s="16" t="inlineStr">
        <is>
          <t>average-time-of-process-per-machine</t>
        </is>
      </c>
    </row>
    <row r="36">
      <c r="C36" s="16" t="inlineStr">
        <is>
          <t>LeetCode</t>
        </is>
      </c>
      <c r="E36" s="16" t="inlineStr">
        <is>
          <t>Medium</t>
        </is>
      </c>
      <c r="H36" s="21">
        <f>IF(G36=TRUE,IF(H36="",TODAY(),H36),"")</f>
        <v/>
      </c>
      <c r="K36" s="16" t="inlineStr">
        <is>
          <t>Array, Stack</t>
        </is>
      </c>
      <c r="L36" s="16" t="inlineStr">
        <is>
          <t>minimum-deletions-to-make-array-beautiful</t>
        </is>
      </c>
    </row>
    <row r="37">
      <c r="C37" s="16" t="inlineStr">
        <is>
          <t>LeetCode</t>
        </is>
      </c>
      <c r="E37" s="16" t="inlineStr">
        <is>
          <t>Medium</t>
        </is>
      </c>
      <c r="H37" s="21">
        <f>IF(G37=TRUE,IF(H37="",TODAY(),H37),"")</f>
        <v/>
      </c>
      <c r="K37" s="16" t="inlineStr">
        <is>
          <t>Math</t>
        </is>
      </c>
      <c r="L37" s="16" t="inlineStr">
        <is>
          <t>angle-between-hands-of-a-clock</t>
        </is>
      </c>
    </row>
    <row r="38">
      <c r="C38" s="16" t="inlineStr">
        <is>
          <t>SQL</t>
        </is>
      </c>
      <c r="E38" s="16" t="inlineStr">
        <is>
          <t>Easy</t>
        </is>
      </c>
      <c r="H38" s="21">
        <f>IF(G38=TRUE,IF(H38="",TODAY(),H38),"")</f>
        <v/>
      </c>
      <c r="K38" s="16" t="inlineStr">
        <is>
          <t>SQL</t>
        </is>
      </c>
      <c r="L38" s="16" t="inlineStr">
        <is>
          <t>duplicate-emails</t>
        </is>
      </c>
    </row>
    <row r="39">
      <c r="C39" s="16" t="inlineStr">
        <is>
          <t>LeetCode</t>
        </is>
      </c>
      <c r="E39" s="16" t="inlineStr">
        <is>
          <t>Medium</t>
        </is>
      </c>
      <c r="H39" s="21">
        <f>IF(G39=TRUE,IF(H39="",TODAY(),H39),"")</f>
        <v/>
      </c>
      <c r="K39" s="16" t="inlineStr">
        <is>
          <t>String, Stack</t>
        </is>
      </c>
      <c r="L39" s="16" t="inlineStr">
        <is>
          <t>score-of-parentheses</t>
        </is>
      </c>
    </row>
    <row r="40">
      <c r="C40" s="16" t="inlineStr">
        <is>
          <t>LeetCode</t>
        </is>
      </c>
      <c r="E40" s="16" t="inlineStr">
        <is>
          <t>Medium</t>
        </is>
      </c>
      <c r="H40" s="21">
        <f>IF(G40=TRUE,IF(H40="",TODAY(),H40),"")</f>
        <v/>
      </c>
      <c r="K40" s="16" t="inlineStr">
        <is>
          <t>Divide and Conquer, Greedy</t>
        </is>
      </c>
      <c r="L40" s="16" t="inlineStr">
        <is>
          <t>balance-a-binary-search-tree</t>
        </is>
      </c>
    </row>
    <row r="41">
      <c r="C41" s="16" t="inlineStr">
        <is>
          <t>SQL</t>
        </is>
      </c>
      <c r="E41" s="16" t="inlineStr">
        <is>
          <t>Easy</t>
        </is>
      </c>
      <c r="H41" s="21">
        <f>IF(G41=TRUE,IF(H41="",TODAY(),H41),"")</f>
        <v/>
      </c>
      <c r="K41" s="16" t="inlineStr">
        <is>
          <t>SQL</t>
        </is>
      </c>
      <c r="L41" s="16" t="inlineStr">
        <is>
          <t>article-views-i</t>
        </is>
      </c>
      <c r="M41" s="16" t="inlineStr">
        <is>
          <t>Article Views I</t>
        </is>
      </c>
    </row>
    <row r="42">
      <c r="C42" s="16" t="inlineStr">
        <is>
          <t>LeetCode</t>
        </is>
      </c>
      <c r="E42" s="16" t="inlineStr">
        <is>
          <t>Medium</t>
        </is>
      </c>
      <c r="H42" s="21">
        <f>IF(G42=TRUE,IF(H42="",TODAY(),H42),"")</f>
        <v/>
      </c>
      <c r="K42" s="16" t="inlineStr">
        <is>
          <t>Tree, Depth-First Search</t>
        </is>
      </c>
      <c r="L42" s="16" t="inlineStr">
        <is>
          <t>longest-univalue-path</t>
        </is>
      </c>
    </row>
    <row r="43">
      <c r="C43" s="16" t="inlineStr">
        <is>
          <t>LeetCode</t>
        </is>
      </c>
      <c r="E43" s="16" t="inlineStr">
        <is>
          <t>Medium</t>
        </is>
      </c>
      <c r="H43" s="21">
        <f>IF(G43=TRUE,IF(H43="",TODAY(),H43),"")</f>
        <v/>
      </c>
      <c r="K43" s="16" t="inlineStr">
        <is>
          <t>Array, Two Pointers</t>
        </is>
      </c>
      <c r="L43" s="16" t="inlineStr">
        <is>
          <t>rearrange-array-elements-by-sign</t>
        </is>
      </c>
    </row>
    <row r="44">
      <c r="C44" s="16" t="inlineStr">
        <is>
          <t>SQL</t>
        </is>
      </c>
      <c r="E44" s="16" t="inlineStr">
        <is>
          <t>Easy</t>
        </is>
      </c>
      <c r="H44" s="21">
        <f>IF(G44=TRUE,IF(H44="",TODAY(),H44),"")</f>
        <v/>
      </c>
      <c r="K44" s="16" t="inlineStr">
        <is>
          <t>SQL</t>
        </is>
      </c>
      <c r="L44" s="16" t="inlineStr">
        <is>
          <t>delete-duplicate-emails</t>
        </is>
      </c>
    </row>
    <row r="45">
      <c r="C45" s="16" t="inlineStr">
        <is>
          <t>LeetCode</t>
        </is>
      </c>
      <c r="E45" s="16" t="inlineStr">
        <is>
          <t>Medium</t>
        </is>
      </c>
      <c r="H45" s="21">
        <f>IF(G45=TRUE,IF(H45="",TODAY(),H45),"")</f>
        <v/>
      </c>
      <c r="K45" s="16" t="inlineStr">
        <is>
          <t>Array, Math</t>
        </is>
      </c>
      <c r="L45" s="16" t="inlineStr">
        <is>
          <t>minimum-time-difference</t>
        </is>
      </c>
    </row>
    <row r="46">
      <c r="C46" s="16" t="inlineStr">
        <is>
          <t>LeetCode</t>
        </is>
      </c>
      <c r="E46" s="16" t="inlineStr">
        <is>
          <t>Medium</t>
        </is>
      </c>
      <c r="H46" s="21">
        <f>IF(G46=TRUE,IF(H46="",TODAY(),H46),"")</f>
        <v/>
      </c>
      <c r="K46" s="16" t="inlineStr">
        <is>
          <t>Tree, Depth-First Search</t>
        </is>
      </c>
      <c r="L46" s="16" t="inlineStr">
        <is>
          <t>maximum-difference-between-node-and-ancestor</t>
        </is>
      </c>
    </row>
    <row r="47">
      <c r="C47" s="16" t="inlineStr">
        <is>
          <t>SQL</t>
        </is>
      </c>
      <c r="E47" s="16" t="inlineStr">
        <is>
          <t>Easy</t>
        </is>
      </c>
      <c r="H47" s="21">
        <f>IF(G47=TRUE,IF(H47="",TODAY(),H47),"")</f>
        <v/>
      </c>
      <c r="K47" s="16" t="inlineStr">
        <is>
          <t>SQL</t>
        </is>
      </c>
      <c r="L47" s="16" t="inlineStr">
        <is>
          <t>replace-employee-id-with-the-unique-identifier</t>
        </is>
      </c>
    </row>
    <row r="48">
      <c r="C48" s="16" t="inlineStr">
        <is>
          <t>LeetCode</t>
        </is>
      </c>
      <c r="E48" s="16" t="inlineStr">
        <is>
          <t>Medium</t>
        </is>
      </c>
      <c r="H48" s="21">
        <f>IF(G48=TRUE,IF(H48="",TODAY(),H48),"")</f>
        <v/>
      </c>
      <c r="K48" s="16" t="inlineStr">
        <is>
          <t>Array, Greedy</t>
        </is>
      </c>
      <c r="L48" s="16" t="inlineStr">
        <is>
          <t>increasing-triplet-subsequence</t>
        </is>
      </c>
    </row>
    <row r="49">
      <c r="C49" s="16" t="inlineStr">
        <is>
          <t>LeetCode</t>
        </is>
      </c>
      <c r="E49" s="16" t="inlineStr">
        <is>
          <t>Medium</t>
        </is>
      </c>
      <c r="H49" s="21">
        <f>IF(G49=TRUE,IF(H49="",TODAY(),H49),"")</f>
        <v/>
      </c>
      <c r="K49" s="16" t="inlineStr">
        <is>
          <t>Tree, Depth-First Search</t>
        </is>
      </c>
      <c r="L49" s="16" t="inlineStr">
        <is>
          <t>maximum-product-of-splitted-binary-tree</t>
        </is>
      </c>
    </row>
    <row r="50">
      <c r="C50" s="16" t="inlineStr">
        <is>
          <t>SQL</t>
        </is>
      </c>
      <c r="E50" s="16" t="inlineStr">
        <is>
          <t>Easy</t>
        </is>
      </c>
      <c r="H50" s="21">
        <f>IF(G50=TRUE,IF(H50="",TODAY(),H50),"")</f>
        <v/>
      </c>
      <c r="K50" s="16" t="inlineStr">
        <is>
          <t>SQL</t>
        </is>
      </c>
      <c r="L50" s="16" t="inlineStr">
        <is>
          <t>average-selling-price</t>
        </is>
      </c>
    </row>
    <row r="51">
      <c r="C51" s="16" t="inlineStr">
        <is>
          <t>LeetCode</t>
        </is>
      </c>
      <c r="E51" s="16" t="inlineStr">
        <is>
          <t>Medium</t>
        </is>
      </c>
      <c r="H51" s="21">
        <f>IF(G51=TRUE,IF(H51="",TODAY(),H51),"")</f>
        <v/>
      </c>
      <c r="K51" s="16" t="inlineStr">
        <is>
          <t>Array, Prefix Sum</t>
        </is>
      </c>
      <c r="L51" s="16" t="inlineStr">
        <is>
          <t>number-of-ways-to-split-array</t>
        </is>
      </c>
    </row>
    <row r="52">
      <c r="C52" s="16" t="inlineStr">
        <is>
          <t>LeetCode</t>
        </is>
      </c>
      <c r="E52" s="16" t="inlineStr">
        <is>
          <t>Medium</t>
        </is>
      </c>
      <c r="H52" s="21">
        <f>IF(G52=TRUE,IF(H52="",TODAY(),H52),"")</f>
        <v/>
      </c>
      <c r="K52" s="16" t="inlineStr">
        <is>
          <t>Array, String</t>
        </is>
      </c>
      <c r="L52" s="16" t="inlineStr">
        <is>
          <t>maximum-product-of-word-lengths</t>
        </is>
      </c>
    </row>
    <row r="53">
      <c r="C53" s="16" t="inlineStr">
        <is>
          <t>SQL</t>
        </is>
      </c>
      <c r="E53" s="16" t="inlineStr">
        <is>
          <t>Easy</t>
        </is>
      </c>
      <c r="H53" s="21">
        <f>IF(G53=TRUE,IF(H53="",TODAY(),H53),"")</f>
        <v/>
      </c>
      <c r="K53" s="16" t="inlineStr">
        <is>
          <t>SQL</t>
        </is>
      </c>
      <c r="L53" s="16" t="inlineStr">
        <is>
          <t>swap-sex-of-employees</t>
        </is>
      </c>
    </row>
    <row r="54">
      <c r="C54" s="16" t="inlineStr">
        <is>
          <t>Codeforces</t>
        </is>
      </c>
      <c r="E54" s="16" t="inlineStr">
        <is>
          <t>CF 1200</t>
        </is>
      </c>
      <c r="H54" s="21">
        <f>IF(G54=TRUE,IF(H54="",TODAY(),H54),"")</f>
        <v/>
      </c>
      <c r="K54" s="16" t="inlineStr">
        <is>
          <t>binary search</t>
        </is>
      </c>
      <c r="L54" s="16" t="inlineStr">
        <is>
          <t>https://codeforces.com/problemset?order=BY_SOLVED_DESC&amp;tags=binary%20search,1200-1200</t>
        </is>
      </c>
      <c r="M54" s="16" t="inlineStr">
        <is>
          <t>Most-solved unsolved: binary search · 1200</t>
        </is>
      </c>
    </row>
    <row r="55">
      <c r="C55" s="16" t="inlineStr">
        <is>
          <t>Codeforces</t>
        </is>
      </c>
      <c r="E55" s="16" t="inlineStr">
        <is>
          <t>CF 1300</t>
        </is>
      </c>
      <c r="H55" s="21">
        <f>IF(G55=TRUE,IF(H55="",TODAY(),H55),"")</f>
        <v/>
      </c>
      <c r="K55" s="16" t="inlineStr">
        <is>
          <t>two pointers</t>
        </is>
      </c>
      <c r="L55" s="16" t="inlineStr">
        <is>
          <t>https://codeforces.com/problemset?order=BY_SOLVED_DESC&amp;tags=two%20pointers,1300-1300</t>
        </is>
      </c>
      <c r="M55" s="16" t="inlineStr">
        <is>
          <t>Most-solved unsolved: two pointers · 1300</t>
        </is>
      </c>
    </row>
    <row r="56">
      <c r="C56" s="16" t="inlineStr">
        <is>
          <t>LeetCode</t>
        </is>
      </c>
      <c r="E56" s="16" t="inlineStr">
        <is>
          <t>Medium</t>
        </is>
      </c>
      <c r="H56" s="21">
        <f>IF(G56=TRUE,IF(H56="",TODAY(),H56),"")</f>
        <v/>
      </c>
      <c r="K56" s="16" t="inlineStr">
        <is>
          <t>Array, Queue</t>
        </is>
      </c>
      <c r="L56" s="16" t="inlineStr">
        <is>
          <t>continuous-subarrays</t>
        </is>
      </c>
    </row>
    <row r="57">
      <c r="C57" s="16" t="inlineStr">
        <is>
          <t>LeetCode</t>
        </is>
      </c>
      <c r="E57" s="16" t="inlineStr">
        <is>
          <t>Medium</t>
        </is>
      </c>
      <c r="H57" s="21">
        <f>IF(G57=TRUE,IF(H57="",TODAY(),H57),"")</f>
        <v/>
      </c>
      <c r="K57" s="16" t="inlineStr">
        <is>
          <t>Binary Search, Bit Manipulation</t>
        </is>
      </c>
      <c r="L57" s="16" t="inlineStr">
        <is>
          <t>count-complete-tree-nodes</t>
        </is>
      </c>
    </row>
    <row r="58">
      <c r="C58" s="16" t="inlineStr">
        <is>
          <t>SQL</t>
        </is>
      </c>
      <c r="E58" s="16" t="inlineStr">
        <is>
          <t>Easy</t>
        </is>
      </c>
      <c r="H58" s="21">
        <f>IF(G58=TRUE,IF(H58="",TODAY(),H58),"")</f>
        <v/>
      </c>
      <c r="K58" s="16" t="inlineStr">
        <is>
          <t>SQL</t>
        </is>
      </c>
      <c r="L58" s="16" t="inlineStr">
        <is>
          <t>group-sold-products-by-the-date</t>
        </is>
      </c>
    </row>
    <row r="59">
      <c r="C59" s="16" t="inlineStr">
        <is>
          <t>LeetCode</t>
        </is>
      </c>
      <c r="E59" s="16" t="inlineStr">
        <is>
          <t>Medium</t>
        </is>
      </c>
      <c r="H59" s="21">
        <f>IF(G59=TRUE,IF(H59="",TODAY(),H59),"")</f>
        <v/>
      </c>
      <c r="K59" s="16" t="inlineStr">
        <is>
          <t>Array, Hash Table</t>
        </is>
      </c>
      <c r="L59" s="16" t="inlineStr">
        <is>
          <t>binary-subarrays-with-sum</t>
        </is>
      </c>
    </row>
    <row r="60">
      <c r="C60" s="16" t="inlineStr">
        <is>
          <t>LeetCode</t>
        </is>
      </c>
      <c r="E60" s="16" t="inlineStr">
        <is>
          <t>Medium</t>
        </is>
      </c>
      <c r="H60" s="21">
        <f>IF(G60=TRUE,IF(H60="",TODAY(),H60),"")</f>
        <v/>
      </c>
      <c r="K60" s="16" t="inlineStr">
        <is>
          <t>Array, Binary Search</t>
        </is>
      </c>
      <c r="L60" s="16" t="inlineStr">
        <is>
          <t>magnetic-force-between-two-balls</t>
        </is>
      </c>
    </row>
    <row r="61">
      <c r="C61" s="16" t="inlineStr">
        <is>
          <t>SQL</t>
        </is>
      </c>
      <c r="E61" s="16" t="inlineStr">
        <is>
          <t>Easy</t>
        </is>
      </c>
      <c r="H61" s="21">
        <f>IF(G61=TRUE,IF(H61="",TODAY(),H61),"")</f>
        <v/>
      </c>
      <c r="K61" s="16" t="inlineStr">
        <is>
          <t>SQL</t>
        </is>
      </c>
      <c r="L61" s="16" t="inlineStr">
        <is>
          <t>employee-bonus</t>
        </is>
      </c>
    </row>
    <row r="62">
      <c r="C62" s="16" t="inlineStr">
        <is>
          <t>LeetCode</t>
        </is>
      </c>
      <c r="E62" s="16" t="inlineStr">
        <is>
          <t>Medium</t>
        </is>
      </c>
      <c r="H62" s="21">
        <f>IF(G62=TRUE,IF(H62="",TODAY(),H62),"")</f>
        <v/>
      </c>
      <c r="K62" s="16" t="inlineStr">
        <is>
          <t>Array, Queue</t>
        </is>
      </c>
      <c r="L62" s="16" t="inlineStr">
        <is>
          <t>longest-continuous-subarray-with-absolute-diff-less-than-or-equal-to-limit</t>
        </is>
      </c>
    </row>
    <row r="63">
      <c r="C63" s="16" t="inlineStr">
        <is>
          <t>LeetCode</t>
        </is>
      </c>
      <c r="E63" s="16" t="inlineStr">
        <is>
          <t>Medium</t>
        </is>
      </c>
      <c r="H63" s="21">
        <f>IF(G63=TRUE,IF(H63="",TODAY(),H63),"")</f>
        <v/>
      </c>
      <c r="K63" s="16" t="inlineStr">
        <is>
          <t>Two Pointers, String</t>
        </is>
      </c>
      <c r="L63" s="16" t="inlineStr">
        <is>
          <t>make-string-a-subsequence-using-cyclic-increments</t>
        </is>
      </c>
    </row>
    <row r="64">
      <c r="C64" s="16" t="inlineStr">
        <is>
          <t>SQL</t>
        </is>
      </c>
      <c r="E64" s="16" t="inlineStr">
        <is>
          <t>Easy</t>
        </is>
      </c>
      <c r="H64" s="21">
        <f>IF(G64=TRUE,IF(H64="",TODAY(),H64),"")</f>
        <v/>
      </c>
      <c r="K64" s="16" t="inlineStr">
        <is>
          <t>SQL</t>
        </is>
      </c>
      <c r="L64" s="16" t="inlineStr">
        <is>
          <t>not-boring-movies</t>
        </is>
      </c>
    </row>
    <row r="65">
      <c r="C65" s="16" t="inlineStr">
        <is>
          <t>LeetCode</t>
        </is>
      </c>
      <c r="E65" s="16" t="inlineStr">
        <is>
          <t>Medium</t>
        </is>
      </c>
      <c r="H65" s="21">
        <f>IF(G65=TRUE,IF(H65="",TODAY(),H65),"")</f>
        <v/>
      </c>
      <c r="K65" s="16" t="inlineStr">
        <is>
          <t>Array, Hash Table</t>
        </is>
      </c>
      <c r="L65" s="16" t="inlineStr">
        <is>
          <t>word-subsets</t>
        </is>
      </c>
    </row>
    <row r="66">
      <c r="C66" s="16" t="inlineStr">
        <is>
          <t>LeetCode</t>
        </is>
      </c>
      <c r="E66" s="16" t="inlineStr">
        <is>
          <t>Medium</t>
        </is>
      </c>
      <c r="H66" s="21">
        <f>IF(G66=TRUE,IF(H66="",TODAY(),H66),"")</f>
        <v/>
      </c>
      <c r="K66" s="16" t="inlineStr">
        <is>
          <t>Array, Simulation</t>
        </is>
      </c>
      <c r="L66" s="16" t="inlineStr">
        <is>
          <t>average-waiting-time</t>
        </is>
      </c>
    </row>
    <row r="67">
      <c r="C67" s="16" t="inlineStr">
        <is>
          <t>SQL</t>
        </is>
      </c>
      <c r="E67" s="16" t="inlineStr">
        <is>
          <t>Easy</t>
        </is>
      </c>
      <c r="H67" s="21">
        <f>IF(G67=TRUE,IF(H67="",TODAY(),H67),"")</f>
        <v/>
      </c>
      <c r="K67" s="16" t="inlineStr">
        <is>
          <t>SQL</t>
        </is>
      </c>
      <c r="L67" s="16" t="inlineStr">
        <is>
          <t>product-sales-analysis-i</t>
        </is>
      </c>
      <c r="M67" s="16" t="inlineStr">
        <is>
          <t>Product Sales Analysis I</t>
        </is>
      </c>
    </row>
    <row r="68">
      <c r="C68" s="16" t="inlineStr">
        <is>
          <t>LeetCode</t>
        </is>
      </c>
      <c r="E68" s="16" t="inlineStr">
        <is>
          <t>Medium</t>
        </is>
      </c>
      <c r="H68" s="21">
        <f>IF(G68=TRUE,IF(H68="",TODAY(),H68),"")</f>
        <v/>
      </c>
      <c r="K68" s="16" t="inlineStr">
        <is>
          <t>Depth-First Search, Breadth-First Search</t>
        </is>
      </c>
      <c r="L68" s="16" t="inlineStr">
        <is>
          <t>number-of-operations-to-make-network-connected</t>
        </is>
      </c>
    </row>
    <row r="69">
      <c r="C69" s="16" t="inlineStr">
        <is>
          <t>LeetCode</t>
        </is>
      </c>
      <c r="E69" s="16" t="inlineStr">
        <is>
          <t>Medium</t>
        </is>
      </c>
      <c r="H69" s="21">
        <f>IF(G69=TRUE,IF(H69="",TODAY(),H69),"")</f>
        <v/>
      </c>
      <c r="K69" s="16" t="inlineStr">
        <is>
          <t>Hash Table, Linked List</t>
        </is>
      </c>
      <c r="L69" s="16" t="inlineStr">
        <is>
          <t>remove-zero-sum-consecutive-nodes-from-linked-list</t>
        </is>
      </c>
    </row>
    <row r="70">
      <c r="C70" s="16" t="inlineStr">
        <is>
          <t>SQL</t>
        </is>
      </c>
      <c r="E70" s="16" t="inlineStr">
        <is>
          <t>Easy</t>
        </is>
      </c>
      <c r="H70" s="21">
        <f>IF(G70=TRUE,IF(H70="",TODAY(),H70),"")</f>
        <v/>
      </c>
      <c r="K70" s="16" t="inlineStr">
        <is>
          <t>SQL</t>
        </is>
      </c>
      <c r="L70" s="16" t="inlineStr">
        <is>
          <t>reformat-department-table</t>
        </is>
      </c>
    </row>
    <row r="71">
      <c r="C71" s="16" t="inlineStr">
        <is>
          <t>LeetCode</t>
        </is>
      </c>
      <c r="E71" s="16" t="inlineStr">
        <is>
          <t>Medium</t>
        </is>
      </c>
      <c r="H71" s="21">
        <f>IF(G71=TRUE,IF(H71="",TODAY(),H71),"")</f>
        <v/>
      </c>
      <c r="K71" s="16" t="inlineStr">
        <is>
          <t>Array, Breadth-First Search</t>
        </is>
      </c>
      <c r="L71" s="16" t="inlineStr">
        <is>
          <t>nearest-exit-from-entrance-in-maze</t>
        </is>
      </c>
    </row>
    <row r="72">
      <c r="C72" s="16" t="inlineStr">
        <is>
          <t>LeetCode</t>
        </is>
      </c>
      <c r="E72" s="16" t="inlineStr">
        <is>
          <t>Medium</t>
        </is>
      </c>
      <c r="H72" s="21">
        <f>IF(G72=TRUE,IF(H72="",TODAY(),H72),"")</f>
        <v/>
      </c>
      <c r="K72" s="16" t="inlineStr">
        <is>
          <t>Array, Linked List</t>
        </is>
      </c>
      <c r="L72" s="16" t="inlineStr">
        <is>
          <t>next-greater-node-in-linked-list</t>
        </is>
      </c>
    </row>
    <row r="73">
      <c r="C73" s="16" t="inlineStr">
        <is>
          <t>SQL</t>
        </is>
      </c>
      <c r="E73" s="16" t="inlineStr">
        <is>
          <t>Medium</t>
        </is>
      </c>
      <c r="H73" s="21">
        <f>IF(G73=TRUE,IF(H73="",TODAY(),H73),"")</f>
        <v/>
      </c>
      <c r="K73" s="16" t="inlineStr">
        <is>
          <t>SQL</t>
        </is>
      </c>
      <c r="L73" s="16" t="inlineStr">
        <is>
          <t>seasonal-sales-analysis</t>
        </is>
      </c>
    </row>
    <row r="74">
      <c r="C74" s="16" t="inlineStr">
        <is>
          <t>LeetCode</t>
        </is>
      </c>
      <c r="E74" s="16" t="inlineStr">
        <is>
          <t>Medium</t>
        </is>
      </c>
      <c r="H74" s="21">
        <f>IF(G74=TRUE,IF(H74="",TODAY(),H74),"")</f>
        <v/>
      </c>
      <c r="K74" s="16" t="inlineStr">
        <is>
          <t>Array, Hash Table</t>
        </is>
      </c>
      <c r="L74" s="16" t="inlineStr">
        <is>
          <t>majority-element-ii</t>
        </is>
      </c>
      <c r="M74" s="16" t="inlineStr">
        <is>
          <t>Majority Element II</t>
        </is>
      </c>
    </row>
    <row r="75">
      <c r="C75" s="16" t="inlineStr">
        <is>
          <t>LeetCode</t>
        </is>
      </c>
      <c r="E75" s="16" t="inlineStr">
        <is>
          <t>Medium</t>
        </is>
      </c>
      <c r="H75" s="21">
        <f>IF(G75=TRUE,IF(H75="",TODAY(),H75),"")</f>
        <v/>
      </c>
      <c r="K75" s="16" t="inlineStr">
        <is>
          <t>Array, Hash Table</t>
        </is>
      </c>
      <c r="L75" s="16" t="inlineStr">
        <is>
          <t>find-all-duplicates-in-an-array</t>
        </is>
      </c>
    </row>
    <row r="76">
      <c r="C76" s="16" t="inlineStr">
        <is>
          <t>SQL</t>
        </is>
      </c>
      <c r="E76" s="16" t="inlineStr">
        <is>
          <t>Easy</t>
        </is>
      </c>
      <c r="H76" s="21">
        <f>IF(G76=TRUE,IF(H76="",TODAY(),H76),"")</f>
        <v/>
      </c>
      <c r="K76" s="16" t="inlineStr">
        <is>
          <t>SQL</t>
        </is>
      </c>
      <c r="L76" s="16" t="inlineStr">
        <is>
          <t>daily-leads-and-partners</t>
        </is>
      </c>
    </row>
    <row r="77">
      <c r="C77" s="16" t="inlineStr">
        <is>
          <t>Codeforces</t>
        </is>
      </c>
      <c r="E77" s="16" t="inlineStr">
        <is>
          <t>CF 1200</t>
        </is>
      </c>
      <c r="H77" s="21">
        <f>IF(G77=TRUE,IF(H77="",TODAY(),H77),"")</f>
        <v/>
      </c>
      <c r="K77" s="16" t="inlineStr">
        <is>
          <t>sortings</t>
        </is>
      </c>
      <c r="L77" s="16" t="inlineStr">
        <is>
          <t>https://codeforces.com/problemset?order=BY_SOLVED_DESC&amp;tags=sortings,1200-1200</t>
        </is>
      </c>
      <c r="M77" s="16" t="inlineStr">
        <is>
          <t>Most-solved unsolved: sortings · 1200</t>
        </is>
      </c>
    </row>
    <row r="78">
      <c r="C78" s="16" t="inlineStr">
        <is>
          <t>Codeforces</t>
        </is>
      </c>
      <c r="E78" s="16" t="inlineStr">
        <is>
          <t>CF 1300</t>
        </is>
      </c>
      <c r="H78" s="21">
        <f>IF(G78=TRUE,IF(H78="",TODAY(),H78),"")</f>
        <v/>
      </c>
      <c r="K78" s="16" t="inlineStr">
        <is>
          <t>strings</t>
        </is>
      </c>
      <c r="L78" s="16" t="inlineStr">
        <is>
          <t>https://codeforces.com/problemset?order=BY_SOLVED_DESC&amp;tags=strings,1300-1300</t>
        </is>
      </c>
      <c r="M78" s="16" t="inlineStr">
        <is>
          <t>Most-solved unsolved: strings · 1300</t>
        </is>
      </c>
    </row>
    <row r="79">
      <c r="C79" s="16" t="inlineStr">
        <is>
          <t>LeetCode</t>
        </is>
      </c>
      <c r="E79" s="16" t="inlineStr">
        <is>
          <t>Medium</t>
        </is>
      </c>
      <c r="H79" s="21">
        <f>IF(G79=TRUE,IF(H79="",TODAY(),H79),"")</f>
        <v/>
      </c>
      <c r="K79" s="16" t="inlineStr">
        <is>
          <t>Math, String</t>
        </is>
      </c>
      <c r="L79" s="16" t="inlineStr">
        <is>
          <t>remove-colored-pieces-if-both-neighbors-are-the-same-color</t>
        </is>
      </c>
    </row>
    <row r="80">
      <c r="C80" s="16" t="inlineStr">
        <is>
          <t>LeetCode</t>
        </is>
      </c>
      <c r="E80" s="16" t="inlineStr">
        <is>
          <t>Medium</t>
        </is>
      </c>
      <c r="H80" s="21">
        <f>IF(G80=TRUE,IF(H80="",TODAY(),H80),"")</f>
        <v/>
      </c>
      <c r="K80" s="16" t="inlineStr">
        <is>
          <t>String, Stack</t>
        </is>
      </c>
      <c r="L80" s="16" t="inlineStr">
        <is>
          <t>reverse-substrings-between-each-pair-of-parentheses</t>
        </is>
      </c>
    </row>
    <row r="81">
      <c r="C81" s="16" t="inlineStr">
        <is>
          <t>SQL</t>
        </is>
      </c>
      <c r="E81" s="16" t="inlineStr">
        <is>
          <t>Easy</t>
        </is>
      </c>
      <c r="H81" s="21">
        <f>IF(G81=TRUE,IF(H81="",TODAY(),H81),"")</f>
        <v/>
      </c>
      <c r="K81" s="16" t="inlineStr">
        <is>
          <t>SQL</t>
        </is>
      </c>
      <c r="L81" s="16" t="inlineStr">
        <is>
          <t>find-users-with-high-token-usage</t>
        </is>
      </c>
    </row>
    <row r="82">
      <c r="C82" s="16" t="inlineStr">
        <is>
          <t>LeetCode</t>
        </is>
      </c>
      <c r="E82" s="16" t="inlineStr">
        <is>
          <t>Medium</t>
        </is>
      </c>
      <c r="H82" s="21">
        <f>IF(G82=TRUE,IF(H82="",TODAY(),H82),"")</f>
        <v/>
      </c>
      <c r="K82" s="16" t="inlineStr">
        <is>
          <t>Array, Hash Table</t>
        </is>
      </c>
      <c r="L82" s="16" t="inlineStr">
        <is>
          <t>count-the-number-of-good-subarrays</t>
        </is>
      </c>
    </row>
    <row r="83">
      <c r="C83" s="16" t="inlineStr">
        <is>
          <t>LeetCode</t>
        </is>
      </c>
      <c r="E83" s="16" t="inlineStr">
        <is>
          <t>Medium</t>
        </is>
      </c>
      <c r="H83" s="21">
        <f>IF(G83=TRUE,IF(H83="",TODAY(),H83),"")</f>
        <v/>
      </c>
      <c r="K83" s="16" t="inlineStr">
        <is>
          <t>Array, Binary Search</t>
        </is>
      </c>
      <c r="L83" s="16" t="inlineStr">
        <is>
          <t>find-the-smallest-divisor-given-a-threshold</t>
        </is>
      </c>
    </row>
    <row r="84">
      <c r="C84" s="16" t="inlineStr">
        <is>
          <t>SQL</t>
        </is>
      </c>
      <c r="E84" s="16" t="inlineStr">
        <is>
          <t>Easy</t>
        </is>
      </c>
      <c r="H84" s="21">
        <f>IF(G84=TRUE,IF(H84="",TODAY(),H84),"")</f>
        <v/>
      </c>
      <c r="K84" s="16" t="inlineStr">
        <is>
          <t>SQL</t>
        </is>
      </c>
      <c r="L84" s="16" t="inlineStr">
        <is>
          <t>find-books-with-no-available-copies</t>
        </is>
      </c>
    </row>
    <row r="85">
      <c r="C85" s="16" t="inlineStr">
        <is>
          <t>LeetCode</t>
        </is>
      </c>
      <c r="E85" s="16" t="inlineStr">
        <is>
          <t>Medium</t>
        </is>
      </c>
      <c r="H85" s="21">
        <f>IF(G85=TRUE,IF(H85="",TODAY(),H85),"")</f>
        <v/>
      </c>
      <c r="K85" s="16" t="inlineStr">
        <is>
          <t>Array, Math</t>
        </is>
      </c>
      <c r="L85" s="16" t="inlineStr">
        <is>
          <t>number-of-laser-beams-in-a-bank</t>
        </is>
      </c>
    </row>
    <row r="86">
      <c r="C86" s="16" t="inlineStr">
        <is>
          <t>LeetCode</t>
        </is>
      </c>
      <c r="E86" s="16" t="inlineStr">
        <is>
          <t>Medium</t>
        </is>
      </c>
      <c r="H86" s="21">
        <f>IF(G86=TRUE,IF(H86="",TODAY(),H86),"")</f>
        <v/>
      </c>
      <c r="K86" s="16" t="inlineStr">
        <is>
          <t>Linked List, Depth-First Search</t>
        </is>
      </c>
      <c r="L86" s="16" t="inlineStr">
        <is>
          <t>flatten-a-multilevel-doubly-linked-list</t>
        </is>
      </c>
    </row>
    <row r="87">
      <c r="C87" s="16" t="inlineStr">
        <is>
          <t>SQL</t>
        </is>
      </c>
      <c r="E87" s="16" t="inlineStr">
        <is>
          <t>Easy</t>
        </is>
      </c>
      <c r="H87" s="21">
        <f>IF(G87=TRUE,IF(H87="",TODAY(),H87),"")</f>
        <v/>
      </c>
      <c r="K87" s="16" t="inlineStr">
        <is>
          <t>SQL</t>
        </is>
      </c>
      <c r="L87" s="16" t="inlineStr">
        <is>
          <t>invalid-tweets</t>
        </is>
      </c>
    </row>
    <row r="88">
      <c r="C88" s="16" t="inlineStr">
        <is>
          <t>LeetCode</t>
        </is>
      </c>
      <c r="E88" s="16" t="inlineStr">
        <is>
          <t>Medium</t>
        </is>
      </c>
      <c r="H88" s="21">
        <f>IF(G88=TRUE,IF(H88="",TODAY(),H88),"")</f>
        <v/>
      </c>
      <c r="K88" s="16" t="inlineStr">
        <is>
          <t>Array, Two Pointers</t>
        </is>
      </c>
      <c r="L88" s="16" t="inlineStr">
        <is>
          <t>shortest-subarray-to-be-removed-to-make-array-sorted</t>
        </is>
      </c>
    </row>
    <row r="89">
      <c r="C89" s="16" t="inlineStr">
        <is>
          <t>LeetCode</t>
        </is>
      </c>
      <c r="E89" s="16" t="inlineStr">
        <is>
          <t>Medium</t>
        </is>
      </c>
      <c r="H89" s="21">
        <f>IF(G89=TRUE,IF(H89="",TODAY(),H89),"")</f>
        <v/>
      </c>
      <c r="K89" s="16" t="inlineStr">
        <is>
          <t>Array, Hash Table</t>
        </is>
      </c>
      <c r="L89" s="16" t="inlineStr">
        <is>
          <t>restore-the-array-from-adjacent-pairs</t>
        </is>
      </c>
    </row>
    <row r="90">
      <c r="C90" s="16" t="inlineStr">
        <is>
          <t>SQL</t>
        </is>
      </c>
      <c r="E90" s="16" t="inlineStr">
        <is>
          <t>Medium</t>
        </is>
      </c>
      <c r="H90" s="21">
        <f>IF(G90=TRUE,IF(H90="",TODAY(),H90),"")</f>
        <v/>
      </c>
      <c r="K90" s="16" t="inlineStr">
        <is>
          <t>SQL</t>
        </is>
      </c>
      <c r="L90" s="16" t="inlineStr">
        <is>
          <t>analyze-subscription-conversion</t>
        </is>
      </c>
    </row>
    <row r="91">
      <c r="C91" s="16" t="inlineStr">
        <is>
          <t>LeetCode</t>
        </is>
      </c>
      <c r="E91" s="16" t="inlineStr">
        <is>
          <t>Medium</t>
        </is>
      </c>
      <c r="H91" s="21">
        <f>IF(G91=TRUE,IF(H91="",TODAY(),H91),"")</f>
        <v/>
      </c>
      <c r="K91" s="16" t="inlineStr">
        <is>
          <t>Array, Binary Search</t>
        </is>
      </c>
      <c r="L91" s="16" t="inlineStr">
        <is>
          <t>subarray-product-less-than-k</t>
        </is>
      </c>
    </row>
    <row r="92">
      <c r="C92" s="16" t="inlineStr">
        <is>
          <t>LeetCode</t>
        </is>
      </c>
      <c r="E92" s="16" t="inlineStr">
        <is>
          <t>Medium</t>
        </is>
      </c>
      <c r="H92" s="21">
        <f>IF(G92=TRUE,IF(H92="",TODAY(),H92),"")</f>
        <v/>
      </c>
      <c r="K92" s="16" t="inlineStr">
        <is>
          <t>Array, Backtracking</t>
        </is>
      </c>
      <c r="L92" s="16" t="inlineStr">
        <is>
          <t>combination-sum-iii</t>
        </is>
      </c>
      <c r="M92" s="16" t="inlineStr">
        <is>
          <t>Combination Sum III</t>
        </is>
      </c>
    </row>
    <row r="93">
      <c r="C93" s="16" t="inlineStr">
        <is>
          <t>SQL</t>
        </is>
      </c>
      <c r="E93" s="16" t="inlineStr">
        <is>
          <t>Medium</t>
        </is>
      </c>
      <c r="H93" s="21">
        <f>IF(G93=TRUE,IF(H93="",TODAY(),H93),"")</f>
        <v/>
      </c>
      <c r="K93" s="16" t="inlineStr">
        <is>
          <t>SQL</t>
        </is>
      </c>
      <c r="L93" s="16" t="inlineStr">
        <is>
          <t>find-golden-hour-customers</t>
        </is>
      </c>
    </row>
    <row r="94">
      <c r="C94" s="16" t="inlineStr">
        <is>
          <t>LeetCode</t>
        </is>
      </c>
      <c r="E94" s="16" t="inlineStr">
        <is>
          <t>Medium</t>
        </is>
      </c>
      <c r="H94" s="21">
        <f>IF(G94=TRUE,IF(H94="",TODAY(),H94),"")</f>
        <v/>
      </c>
      <c r="K94" s="16" t="inlineStr">
        <is>
          <t>Array, Hash Table</t>
        </is>
      </c>
      <c r="L94" s="16" t="inlineStr">
        <is>
          <t>reduce-array-size-to-the-half</t>
        </is>
      </c>
    </row>
    <row r="95">
      <c r="C95" s="16" t="inlineStr">
        <is>
          <t>LeetCode</t>
        </is>
      </c>
      <c r="E95" s="16" t="inlineStr">
        <is>
          <t>Medium</t>
        </is>
      </c>
      <c r="H95" s="21">
        <f>IF(G95=TRUE,IF(H95="",TODAY(),H95),"")</f>
        <v/>
      </c>
      <c r="K95" s="16" t="inlineStr">
        <is>
          <t>Tree, Depth-First Search</t>
        </is>
      </c>
      <c r="L95" s="16" t="inlineStr">
        <is>
          <t>recover-binary-search-tree</t>
        </is>
      </c>
    </row>
    <row r="96">
      <c r="C96" s="16" t="inlineStr">
        <is>
          <t>SQL</t>
        </is>
      </c>
      <c r="E96" s="16" t="inlineStr">
        <is>
          <t>Medium</t>
        </is>
      </c>
      <c r="H96" s="21">
        <f>IF(G96=TRUE,IF(H96="",TODAY(),H96),"")</f>
        <v/>
      </c>
      <c r="K96" s="16" t="inlineStr">
        <is>
          <t>SQL</t>
        </is>
      </c>
      <c r="L96" s="16" t="inlineStr">
        <is>
          <t>market-analysis-i</t>
        </is>
      </c>
      <c r="M96" s="16" t="inlineStr">
        <is>
          <t>Market Analysis I</t>
        </is>
      </c>
    </row>
    <row r="97">
      <c r="C97" s="16" t="inlineStr">
        <is>
          <t>LeetCode</t>
        </is>
      </c>
      <c r="E97" s="16" t="inlineStr">
        <is>
          <t>Medium</t>
        </is>
      </c>
      <c r="H97" s="21">
        <f>IF(G97=TRUE,IF(H97="",TODAY(),H97),"")</f>
        <v/>
      </c>
      <c r="K97" s="16" t="inlineStr">
        <is>
          <t>Array, Math</t>
        </is>
      </c>
      <c r="L97" s="16" t="inlineStr">
        <is>
          <t>find-the-winner-of-the-circular-game</t>
        </is>
      </c>
    </row>
    <row r="98">
      <c r="C98" s="16" t="inlineStr">
        <is>
          <t>LeetCode</t>
        </is>
      </c>
      <c r="E98" s="16" t="inlineStr">
        <is>
          <t>Medium</t>
        </is>
      </c>
      <c r="H98" s="21">
        <f>IF(G98=TRUE,IF(H98="",TODAY(),H98),"")</f>
        <v/>
      </c>
      <c r="K98" s="16" t="inlineStr">
        <is>
          <t>Array, Binary Search</t>
        </is>
      </c>
      <c r="L98" s="16" t="inlineStr">
        <is>
          <t>max-consecutive-ones-iii</t>
        </is>
      </c>
      <c r="M98" s="16" t="inlineStr">
        <is>
          <t>Max Consecutive Ones III</t>
        </is>
      </c>
    </row>
    <row r="99">
      <c r="C99" s="16" t="inlineStr">
        <is>
          <t>SQL</t>
        </is>
      </c>
      <c r="E99" s="16" t="inlineStr">
        <is>
          <t>Medium</t>
        </is>
      </c>
      <c r="H99" s="21">
        <f>IF(G99=TRUE,IF(H99="",TODAY(),H99),"")</f>
        <v/>
      </c>
      <c r="K99" s="16" t="inlineStr">
        <is>
          <t>SQL</t>
        </is>
      </c>
      <c r="L99" s="16" t="inlineStr">
        <is>
          <t>find-books-with-polarized-opinions</t>
        </is>
      </c>
    </row>
    <row r="100">
      <c r="C100" s="16" t="inlineStr">
        <is>
          <t>Codeforces</t>
        </is>
      </c>
      <c r="E100" s="16" t="inlineStr">
        <is>
          <t>CF 1200</t>
        </is>
      </c>
      <c r="H100" s="21">
        <f>IF(G100=TRUE,IF(H100="",TODAY(),H100),"")</f>
        <v/>
      </c>
      <c r="K100" s="16" t="inlineStr">
        <is>
          <t>dp</t>
        </is>
      </c>
      <c r="L100" s="16" t="inlineStr">
        <is>
          <t>https://codeforces.com/problemset?order=BY_SOLVED_DESC&amp;tags=dp,1200-1200</t>
        </is>
      </c>
      <c r="M100" s="16" t="inlineStr">
        <is>
          <t>Most-solved unsolved: dp · 1200</t>
        </is>
      </c>
    </row>
    <row r="101">
      <c r="C101" s="16" t="inlineStr">
        <is>
          <t>Codeforces</t>
        </is>
      </c>
      <c r="E101" s="16" t="inlineStr">
        <is>
          <t>CF 1300</t>
        </is>
      </c>
      <c r="H101" s="21">
        <f>IF(G101=TRUE,IF(H101="",TODAY(),H101),"")</f>
        <v/>
      </c>
      <c r="K101" s="16" t="inlineStr">
        <is>
          <t>graphs</t>
        </is>
      </c>
      <c r="L101" s="16" t="inlineStr">
        <is>
          <t>https://codeforces.com/problemset?order=BY_SOLVED_DESC&amp;tags=graphs,1300-1300</t>
        </is>
      </c>
      <c r="M101" s="16" t="inlineStr">
        <is>
          <t>Most-solved unsolved: graphs · 1300</t>
        </is>
      </c>
    </row>
    <row r="102">
      <c r="C102" s="16" t="inlineStr">
        <is>
          <t>LeetCode</t>
        </is>
      </c>
      <c r="E102" s="16" t="inlineStr">
        <is>
          <t>Medium</t>
        </is>
      </c>
      <c r="H102" s="21">
        <f>IF(G102=TRUE,IF(H102="",TODAY(),H102),"")</f>
        <v/>
      </c>
      <c r="K102" s="16" t="inlineStr">
        <is>
          <t>Array, Sorting</t>
        </is>
      </c>
      <c r="L102" s="16" t="inlineStr">
        <is>
          <t>maximum-gap</t>
        </is>
      </c>
    </row>
    <row r="103">
      <c r="C103" s="16" t="inlineStr">
        <is>
          <t>LeetCode</t>
        </is>
      </c>
      <c r="E103" s="16" t="inlineStr">
        <is>
          <t>Medium</t>
        </is>
      </c>
      <c r="H103" s="21">
        <f>IF(G103=TRUE,IF(H103="",TODAY(),H103),"")</f>
        <v/>
      </c>
      <c r="K103" s="16" t="inlineStr">
        <is>
          <t>Hash Table, Depth-First Search</t>
        </is>
      </c>
      <c r="L103" s="16" t="inlineStr">
        <is>
          <t>most-stones-removed-with-same-row-or-column</t>
        </is>
      </c>
    </row>
    <row r="104">
      <c r="C104" s="16" t="inlineStr">
        <is>
          <t>SQL</t>
        </is>
      </c>
      <c r="E104" s="16" t="inlineStr">
        <is>
          <t>Medium</t>
        </is>
      </c>
      <c r="H104" s="21">
        <f>IF(G104=TRUE,IF(H104="",TODAY(),H104),"")</f>
        <v/>
      </c>
      <c r="K104" s="16" t="inlineStr">
        <is>
          <t>SQL</t>
        </is>
      </c>
      <c r="L104" s="16" t="inlineStr">
        <is>
          <t>friend-requests-ii-who-has-the-most-friends</t>
        </is>
      </c>
    </row>
    <row r="105">
      <c r="C105" s="16" t="inlineStr">
        <is>
          <t>LeetCode</t>
        </is>
      </c>
      <c r="E105" s="16" t="inlineStr">
        <is>
          <t>Medium</t>
        </is>
      </c>
      <c r="H105" s="21">
        <f>IF(G105=TRUE,IF(H105="",TODAY(),H105),"")</f>
        <v/>
      </c>
      <c r="K105" s="16" t="inlineStr">
        <is>
          <t>Array, Stack</t>
        </is>
      </c>
      <c r="L105" s="16" t="inlineStr">
        <is>
          <t>design-a-stack-with-increment-operation</t>
        </is>
      </c>
    </row>
    <row r="106">
      <c r="C106" s="16" t="inlineStr">
        <is>
          <t>LeetCode</t>
        </is>
      </c>
      <c r="E106" s="16" t="inlineStr">
        <is>
          <t>Medium</t>
        </is>
      </c>
      <c r="H106" s="21">
        <f>IF(G106=TRUE,IF(H106="",TODAY(),H106),"")</f>
        <v/>
      </c>
      <c r="K106" s="16" t="inlineStr">
        <is>
          <t>Array, Two Pointers</t>
        </is>
      </c>
      <c r="L106" s="16" t="inlineStr">
        <is>
          <t>shortest-unsorted-continuous-subarray</t>
        </is>
      </c>
    </row>
    <row r="107">
      <c r="C107" s="16" t="inlineStr">
        <is>
          <t>SQL</t>
        </is>
      </c>
      <c r="E107" s="16" t="inlineStr">
        <is>
          <t>Easy</t>
        </is>
      </c>
      <c r="H107" s="21">
        <f>IF(G107=TRUE,IF(H107="",TODAY(),H107),"")</f>
        <v/>
      </c>
      <c r="K107" s="16" t="inlineStr">
        <is>
          <t>SQL</t>
        </is>
      </c>
      <c r="L107" s="16" t="inlineStr">
        <is>
          <t>list-the-products-ordered-in-a-period</t>
        </is>
      </c>
    </row>
    <row r="108">
      <c r="C108" s="16" t="inlineStr">
        <is>
          <t>LeetCode</t>
        </is>
      </c>
      <c r="E108" s="16" t="inlineStr">
        <is>
          <t>Medium</t>
        </is>
      </c>
      <c r="H108" s="21">
        <f>IF(G108=TRUE,IF(H108="",TODAY(),H108),"")</f>
        <v/>
      </c>
      <c r="K108" s="16" t="inlineStr">
        <is>
          <t>Array, Binary Search</t>
        </is>
      </c>
      <c r="L108" s="16" t="inlineStr">
        <is>
          <t>maximum-white-tiles-covered-by-a-carpet</t>
        </is>
      </c>
    </row>
    <row r="109">
      <c r="C109" s="16" t="inlineStr">
        <is>
          <t>LeetCode</t>
        </is>
      </c>
      <c r="E109" s="16" t="inlineStr">
        <is>
          <t>Medium</t>
        </is>
      </c>
      <c r="H109" s="21">
        <f>IF(G109=TRUE,IF(H109="",TODAY(),H109),"")</f>
        <v/>
      </c>
      <c r="K109" s="16" t="inlineStr">
        <is>
          <t>Array, Divide and Conquer</t>
        </is>
      </c>
      <c r="L109" s="16" t="inlineStr">
        <is>
          <t>maximum-binary-tree</t>
        </is>
      </c>
    </row>
    <row r="110">
      <c r="C110" s="16" t="inlineStr">
        <is>
          <t>SQL</t>
        </is>
      </c>
      <c r="E110" s="16" t="inlineStr">
        <is>
          <t>Medium</t>
        </is>
      </c>
      <c r="H110" s="21">
        <f>IF(G110=TRUE,IF(H110="",TODAY(),H110),"")</f>
        <v/>
      </c>
      <c r="K110" s="16" t="inlineStr">
        <is>
          <t>SQL</t>
        </is>
      </c>
      <c r="L110" s="16" t="inlineStr">
        <is>
          <t>find-emotionally-consistent-users</t>
        </is>
      </c>
    </row>
    <row r="111">
      <c r="C111" s="16" t="inlineStr">
        <is>
          <t>LeetCode</t>
        </is>
      </c>
      <c r="E111" s="16" t="inlineStr">
        <is>
          <t>Medium</t>
        </is>
      </c>
      <c r="H111" s="21">
        <f>IF(G111=TRUE,IF(H111="",TODAY(),H111),"")</f>
        <v/>
      </c>
      <c r="K111" s="16" t="inlineStr">
        <is>
          <t>Array, Stack</t>
        </is>
      </c>
      <c r="L111" s="16" t="inlineStr">
        <is>
          <t>max-chunks-to-make-sorted</t>
        </is>
      </c>
    </row>
    <row r="112">
      <c r="C112" s="16" t="inlineStr">
        <is>
          <t>LeetCode</t>
        </is>
      </c>
      <c r="E112" s="16" t="inlineStr">
        <is>
          <t>Medium</t>
        </is>
      </c>
      <c r="H112" s="21">
        <f>IF(G112=TRUE,IF(H112="",TODAY(),H112),"")</f>
        <v/>
      </c>
      <c r="K112" s="16" t="inlineStr">
        <is>
          <t>String, Backtracking</t>
        </is>
      </c>
      <c r="L112" s="16" t="inlineStr">
        <is>
          <t>construct-smallest-number-from-di-string</t>
        </is>
      </c>
    </row>
    <row r="113">
      <c r="C113" s="16" t="inlineStr">
        <is>
          <t>SQL</t>
        </is>
      </c>
      <c r="E113" s="16" t="inlineStr">
        <is>
          <t>Medium</t>
        </is>
      </c>
      <c r="H113" s="21">
        <f>IF(G113=TRUE,IF(H113="",TODAY(),H113),"")</f>
        <v/>
      </c>
      <c r="K113" s="16" t="inlineStr">
        <is>
          <t>SQL</t>
        </is>
      </c>
      <c r="L113" s="16" t="inlineStr">
        <is>
          <t>find-loyal-customers</t>
        </is>
      </c>
    </row>
    <row r="114">
      <c r="C114" s="16" t="inlineStr">
        <is>
          <t>LeetCode</t>
        </is>
      </c>
      <c r="E114" s="16" t="inlineStr">
        <is>
          <t>Medium</t>
        </is>
      </c>
      <c r="H114" s="21">
        <f>IF(G114=TRUE,IF(H114="",TODAY(),H114),"")</f>
        <v/>
      </c>
      <c r="K114" s="16" t="inlineStr">
        <is>
          <t>Array, Bit Manipulation</t>
        </is>
      </c>
      <c r="L114" s="16" t="inlineStr">
        <is>
          <t>longest-nice-subarray</t>
        </is>
      </c>
    </row>
    <row r="115">
      <c r="C115" s="16" t="inlineStr">
        <is>
          <t>LeetCode</t>
        </is>
      </c>
      <c r="E115" s="16" t="inlineStr">
        <is>
          <t>Medium</t>
        </is>
      </c>
      <c r="H115" s="21">
        <f>IF(G115=TRUE,IF(H115="",TODAY(),H115),"")</f>
        <v/>
      </c>
      <c r="K115" s="16" t="inlineStr">
        <is>
          <t>Array, Bit Manipulation</t>
        </is>
      </c>
      <c r="L115" s="16" t="inlineStr">
        <is>
          <t>longest-subarray-with-maximum-bitwise-and</t>
        </is>
      </c>
    </row>
    <row r="116">
      <c r="C116" s="16" t="inlineStr">
        <is>
          <t>SQL</t>
        </is>
      </c>
      <c r="E116" s="16" t="inlineStr">
        <is>
          <t>Medium</t>
        </is>
      </c>
      <c r="H116" s="21">
        <f>IF(G116=TRUE,IF(H116="",TODAY(),H116),"")</f>
        <v/>
      </c>
      <c r="K116" s="16" t="inlineStr">
        <is>
          <t>SQL</t>
        </is>
      </c>
      <c r="L116" s="16" t="inlineStr">
        <is>
          <t>find-stores-with-inventory-imbalance</t>
        </is>
      </c>
    </row>
    <row r="117">
      <c r="C117" s="16" t="inlineStr">
        <is>
          <t>LeetCode</t>
        </is>
      </c>
      <c r="E117" s="16" t="inlineStr">
        <is>
          <t>Medium</t>
        </is>
      </c>
      <c r="H117" s="21">
        <f>IF(G117=TRUE,IF(H117="",TODAY(),H117),"")</f>
        <v/>
      </c>
      <c r="K117" s="16" t="inlineStr">
        <is>
          <t>Array, Greedy</t>
        </is>
      </c>
      <c r="L117" s="16" t="inlineStr">
        <is>
          <t>find-valid-matrix-given-row-and-column-sums</t>
        </is>
      </c>
    </row>
    <row r="118">
      <c r="C118" s="16" t="inlineStr">
        <is>
          <t>LeetCode</t>
        </is>
      </c>
      <c r="E118" s="16" t="inlineStr">
        <is>
          <t>Medium</t>
        </is>
      </c>
      <c r="H118" s="21">
        <f>IF(G118=TRUE,IF(H118="",TODAY(),H118),"")</f>
        <v/>
      </c>
      <c r="K118" s="16" t="inlineStr">
        <is>
          <t>String, Stack</t>
        </is>
      </c>
      <c r="L118" s="16" t="inlineStr">
        <is>
          <t>minimum-remove-to-make-valid-parentheses</t>
        </is>
      </c>
    </row>
    <row r="119">
      <c r="C119" s="16" t="inlineStr">
        <is>
          <t>SQL</t>
        </is>
      </c>
      <c r="E119" s="16" t="inlineStr">
        <is>
          <t>Medium</t>
        </is>
      </c>
      <c r="H119" s="21">
        <f>IF(G119=TRUE,IF(H119="",TODAY(),H119),"")</f>
        <v/>
      </c>
      <c r="K119" s="16" t="inlineStr">
        <is>
          <t>SQL</t>
        </is>
      </c>
      <c r="L119" s="16" t="inlineStr">
        <is>
          <t>product-price-at-a-given-date</t>
        </is>
      </c>
    </row>
    <row r="120">
      <c r="C120" s="16" t="inlineStr">
        <is>
          <t>LeetCode</t>
        </is>
      </c>
      <c r="E120" s="16" t="inlineStr">
        <is>
          <t>Medium</t>
        </is>
      </c>
      <c r="H120" s="21">
        <f>IF(G120=TRUE,IF(H120="",TODAY(),H120),"")</f>
        <v/>
      </c>
      <c r="K120" s="16" t="inlineStr">
        <is>
          <t>Tree, Depth-First Search</t>
        </is>
      </c>
      <c r="L120" s="16" t="inlineStr">
        <is>
          <t>deepest-leaves-sum</t>
        </is>
      </c>
    </row>
    <row r="121">
      <c r="C121" s="16" t="inlineStr">
        <is>
          <t>LeetCode</t>
        </is>
      </c>
      <c r="E121" s="16" t="inlineStr">
        <is>
          <t>Medium</t>
        </is>
      </c>
      <c r="H121" s="21">
        <f>IF(G121=TRUE,IF(H121="",TODAY(),H121),"")</f>
        <v/>
      </c>
      <c r="K121" s="16" t="inlineStr">
        <is>
          <t>Math, Two Pointers</t>
        </is>
      </c>
      <c r="L121" s="16" t="inlineStr">
        <is>
          <t>next-greater-element-iii</t>
        </is>
      </c>
      <c r="M121" s="16" t="inlineStr">
        <is>
          <t>Next Greater Element III</t>
        </is>
      </c>
    </row>
    <row r="122">
      <c r="C122" s="16" t="inlineStr">
        <is>
          <t>SQL</t>
        </is>
      </c>
      <c r="E122" s="16" t="inlineStr">
        <is>
          <t>Easy</t>
        </is>
      </c>
      <c r="H122" s="21">
        <f>IF(G122=TRUE,IF(H122="",TODAY(),H122),"")</f>
        <v/>
      </c>
      <c r="K122" s="16" t="inlineStr">
        <is>
          <t>SQL</t>
        </is>
      </c>
      <c r="L122" s="16" t="inlineStr">
        <is>
          <t>patients-with-a-condition</t>
        </is>
      </c>
    </row>
    <row r="123">
      <c r="C123" s="16" t="inlineStr">
        <is>
          <t>Codeforces</t>
        </is>
      </c>
      <c r="E123" s="16" t="inlineStr">
        <is>
          <t>CF 1200</t>
        </is>
      </c>
      <c r="H123" s="21">
        <f>IF(G123=TRUE,IF(H123="",TODAY(),H123),"")</f>
        <v/>
      </c>
      <c r="K123" s="16" t="inlineStr">
        <is>
          <t>number theory</t>
        </is>
      </c>
      <c r="L123" s="16" t="inlineStr">
        <is>
          <t>https://codeforces.com/problemset?order=BY_SOLVED_DESC&amp;tags=number%20theory,1200-1200</t>
        </is>
      </c>
      <c r="M123" s="16" t="inlineStr">
        <is>
          <t>Most-solved unsolved: number theory · 1200</t>
        </is>
      </c>
    </row>
    <row r="124">
      <c r="C124" s="16" t="inlineStr">
        <is>
          <t>Codeforces</t>
        </is>
      </c>
      <c r="E124" s="16" t="inlineStr">
        <is>
          <t>CF 1300</t>
        </is>
      </c>
      <c r="H124" s="21">
        <f>IF(G124=TRUE,IF(H124="",TODAY(),H124),"")</f>
        <v/>
      </c>
      <c r="K124" s="16" t="inlineStr">
        <is>
          <t>bitmasks</t>
        </is>
      </c>
      <c r="L124" s="16" t="inlineStr">
        <is>
          <t>https://codeforces.com/problemset?order=BY_SOLVED_DESC&amp;tags=bitmasks,1300-1300</t>
        </is>
      </c>
      <c r="M124" s="16" t="inlineStr">
        <is>
          <t>Most-solved unsolved: bitmasks · 1300</t>
        </is>
      </c>
    </row>
    <row r="125">
      <c r="C125" s="16" t="inlineStr">
        <is>
          <t>LeetCode</t>
        </is>
      </c>
      <c r="E125" s="16" t="inlineStr">
        <is>
          <t>Medium</t>
        </is>
      </c>
      <c r="H125" s="21">
        <f>IF(G125=TRUE,IF(H125="",TODAY(),H125),"")</f>
        <v/>
      </c>
      <c r="K125" s="16" t="inlineStr">
        <is>
          <t>Array, Hash Table</t>
        </is>
      </c>
      <c r="L125" s="16" t="inlineStr">
        <is>
          <t>snapshot-array</t>
        </is>
      </c>
    </row>
    <row r="126">
      <c r="C126" s="16" t="inlineStr">
        <is>
          <t>LeetCode</t>
        </is>
      </c>
      <c r="E126" s="16" t="inlineStr">
        <is>
          <t>Medium</t>
        </is>
      </c>
      <c r="H126" s="21">
        <f>IF(G126=TRUE,IF(H126="",TODAY(),H126),"")</f>
        <v/>
      </c>
      <c r="K126" s="16" t="inlineStr">
        <is>
          <t>Hash Table, String</t>
        </is>
      </c>
      <c r="L126" s="16" t="inlineStr">
        <is>
          <t>sort-characters-by-frequency</t>
        </is>
      </c>
    </row>
    <row r="127">
      <c r="C127" s="16" t="inlineStr">
        <is>
          <t>SQL</t>
        </is>
      </c>
      <c r="E127" s="16" t="inlineStr">
        <is>
          <t>Medium</t>
        </is>
      </c>
      <c r="H127" s="21">
        <f>IF(G127=TRUE,IF(H127="",TODAY(),H127),"")</f>
        <v/>
      </c>
      <c r="K127" s="16" t="inlineStr">
        <is>
          <t>SQL</t>
        </is>
      </c>
      <c r="L127" s="16" t="inlineStr">
        <is>
          <t>exchange-seats</t>
        </is>
      </c>
    </row>
    <row r="128">
      <c r="C128" s="16" t="inlineStr">
        <is>
          <t>LeetCode</t>
        </is>
      </c>
      <c r="E128" s="16" t="inlineStr">
        <is>
          <t>Medium</t>
        </is>
      </c>
      <c r="H128" s="21">
        <f>IF(G128=TRUE,IF(H128="",TODAY(),H128),"")</f>
        <v/>
      </c>
      <c r="K128" s="16" t="inlineStr">
        <is>
          <t>Hash Table, String</t>
        </is>
      </c>
      <c r="L128" s="16" t="inlineStr">
        <is>
          <t>number-of-wonderful-substrings</t>
        </is>
      </c>
    </row>
    <row r="129">
      <c r="C129" s="16" t="inlineStr">
        <is>
          <t>LeetCode</t>
        </is>
      </c>
      <c r="E129" s="16" t="inlineStr">
        <is>
          <t>Medium</t>
        </is>
      </c>
      <c r="H129" s="21">
        <f>IF(G129=TRUE,IF(H129="",TODAY(),H129),"")</f>
        <v/>
      </c>
      <c r="K129" s="16" t="inlineStr">
        <is>
          <t>Linked List</t>
        </is>
      </c>
      <c r="L129" s="16" t="inlineStr">
        <is>
          <t>find-the-minimum-and-maximum-number-of-nodes-between-critical-points</t>
        </is>
      </c>
    </row>
    <row r="130">
      <c r="C130" s="16" t="inlineStr">
        <is>
          <t>SQL</t>
        </is>
      </c>
      <c r="E130" s="16" t="inlineStr">
        <is>
          <t>Medium</t>
        </is>
      </c>
      <c r="H130" s="21">
        <f>IF(G130=TRUE,IF(H130="",TODAY(),H130),"")</f>
        <v/>
      </c>
      <c r="K130" s="16" t="inlineStr">
        <is>
          <t>SQL</t>
        </is>
      </c>
      <c r="L130" s="16" t="inlineStr">
        <is>
          <t>find-churn-risk-customers</t>
        </is>
      </c>
    </row>
    <row r="131">
      <c r="C131" s="16" t="inlineStr">
        <is>
          <t>LeetCode</t>
        </is>
      </c>
      <c r="E131" s="16" t="inlineStr">
        <is>
          <t>Medium</t>
        </is>
      </c>
      <c r="H131" s="21">
        <f>IF(G131=TRUE,IF(H131="",TODAY(),H131),"")</f>
        <v/>
      </c>
      <c r="K131" s="16" t="inlineStr">
        <is>
          <t>Tree, Breadth-First Search</t>
        </is>
      </c>
      <c r="L131" s="16" t="inlineStr">
        <is>
          <t>complete-binary-tree-inserter</t>
        </is>
      </c>
    </row>
    <row r="132">
      <c r="C132" s="16" t="inlineStr">
        <is>
          <t>LeetCode</t>
        </is>
      </c>
      <c r="E132" s="16" t="inlineStr">
        <is>
          <t>Medium</t>
        </is>
      </c>
      <c r="H132" s="21">
        <f>IF(G132=TRUE,IF(H132="",TODAY(),H132),"")</f>
        <v/>
      </c>
      <c r="K132" s="16" t="inlineStr">
        <is>
          <t>Tree, Depth-First Search</t>
        </is>
      </c>
      <c r="L132" s="16" t="inlineStr">
        <is>
          <t>add-one-row-to-tree</t>
        </is>
      </c>
    </row>
    <row r="133">
      <c r="C133" s="16" t="inlineStr">
        <is>
          <t>SQL</t>
        </is>
      </c>
      <c r="E133" s="16" t="inlineStr">
        <is>
          <t>Medium</t>
        </is>
      </c>
      <c r="H133" s="21">
        <f>IF(G133=TRUE,IF(H133="",TODAY(),H133),"")</f>
        <v/>
      </c>
      <c r="K133" s="16" t="inlineStr">
        <is>
          <t>SQL</t>
        </is>
      </c>
      <c r="L133" s="16" t="inlineStr">
        <is>
          <t>restaurant-growth</t>
        </is>
      </c>
    </row>
    <row r="134">
      <c r="C134" s="16" t="inlineStr">
        <is>
          <t>LeetCode</t>
        </is>
      </c>
      <c r="E134" s="16" t="inlineStr">
        <is>
          <t>Medium</t>
        </is>
      </c>
      <c r="H134" s="21">
        <f>IF(G134=TRUE,IF(H134="",TODAY(),H134),"")</f>
        <v/>
      </c>
      <c r="K134" s="16" t="inlineStr">
        <is>
          <t>Tree, Depth-First Search</t>
        </is>
      </c>
      <c r="L134" s="16" t="inlineStr">
        <is>
          <t>binary-search-tree-to-greater-sum-tree</t>
        </is>
      </c>
    </row>
    <row r="135">
      <c r="C135" s="16" t="inlineStr">
        <is>
          <t>LeetCode</t>
        </is>
      </c>
      <c r="E135" s="16" t="inlineStr">
        <is>
          <t>Medium</t>
        </is>
      </c>
      <c r="H135" s="21">
        <f>IF(G135=TRUE,IF(H135="",TODAY(),H135),"")</f>
        <v/>
      </c>
      <c r="K135" s="16" t="inlineStr">
        <is>
          <t>Array, Binary Search</t>
        </is>
      </c>
      <c r="L135" s="16" t="inlineStr">
        <is>
          <t>minimum-speed-to-arrive-on-time</t>
        </is>
      </c>
    </row>
    <row r="136">
      <c r="C136" s="16" t="inlineStr">
        <is>
          <t>SQL</t>
        </is>
      </c>
      <c r="E136" s="16" t="inlineStr">
        <is>
          <t>Medium</t>
        </is>
      </c>
      <c r="H136" s="21">
        <f>IF(G136=TRUE,IF(H136="",TODAY(),H136),"")</f>
        <v/>
      </c>
      <c r="K136" s="16" t="inlineStr">
        <is>
          <t>SQL</t>
        </is>
      </c>
      <c r="L136" s="16" t="inlineStr">
        <is>
          <t>find-overbooked-employees</t>
        </is>
      </c>
    </row>
    <row r="137">
      <c r="C137" s="16" t="inlineStr">
        <is>
          <t>LeetCode</t>
        </is>
      </c>
      <c r="E137" s="16" t="inlineStr">
        <is>
          <t>Medium</t>
        </is>
      </c>
      <c r="H137" s="21">
        <f>IF(G137=TRUE,IF(H137="",TODAY(),H137),"")</f>
        <v/>
      </c>
      <c r="K137" s="16" t="inlineStr">
        <is>
          <t>Array, Hash Table</t>
        </is>
      </c>
      <c r="L137" s="16" t="inlineStr">
        <is>
          <t>count-number-of-nice-subarrays</t>
        </is>
      </c>
    </row>
    <row r="138">
      <c r="C138" s="16" t="inlineStr">
        <is>
          <t>LeetCode</t>
        </is>
      </c>
      <c r="E138" s="16" t="inlineStr">
        <is>
          <t>Medium</t>
        </is>
      </c>
      <c r="H138" s="21">
        <f>IF(G138=TRUE,IF(H138="",TODAY(),H138),"")</f>
        <v/>
      </c>
      <c r="K138" s="16" t="inlineStr">
        <is>
          <t>Array, Hash Table</t>
        </is>
      </c>
      <c r="L138" s="16" t="inlineStr">
        <is>
          <t>flip-columns-for-maximum-number-of-equal-rows</t>
        </is>
      </c>
    </row>
    <row r="139">
      <c r="C139" s="16" t="inlineStr">
        <is>
          <t>SQL</t>
        </is>
      </c>
      <c r="E139" s="16" t="inlineStr">
        <is>
          <t>Easy</t>
        </is>
      </c>
      <c r="H139" s="21">
        <f>IF(G139=TRUE,IF(H139="",TODAY(),H139),"")</f>
        <v/>
      </c>
      <c r="K139" s="16" t="inlineStr">
        <is>
          <t>SQL</t>
        </is>
      </c>
      <c r="L139" s="16" t="inlineStr">
        <is>
          <t>find-total-time-spent-by-each-employee</t>
        </is>
      </c>
    </row>
    <row r="140">
      <c r="C140" s="16" t="inlineStr">
        <is>
          <t>LeetCode</t>
        </is>
      </c>
      <c r="E140" s="16" t="inlineStr">
        <is>
          <t>Medium</t>
        </is>
      </c>
      <c r="H140" s="21">
        <f>IF(G140=TRUE,IF(H140="",TODAY(),H140),"")</f>
        <v/>
      </c>
      <c r="K140" s="16" t="inlineStr">
        <is>
          <t>String, Binary Search</t>
        </is>
      </c>
      <c r="L140" s="16" t="inlineStr">
        <is>
          <t>get-equal-substrings-within-budget</t>
        </is>
      </c>
    </row>
    <row r="141">
      <c r="C141" s="16" t="inlineStr">
        <is>
          <t>LeetCode</t>
        </is>
      </c>
      <c r="E141" s="16" t="inlineStr">
        <is>
          <t>Medium</t>
        </is>
      </c>
      <c r="H141" s="21">
        <f>IF(G141=TRUE,IF(H141="",TODAY(),H141),"")</f>
        <v/>
      </c>
      <c r="K141" s="16" t="inlineStr">
        <is>
          <t>Depth-First Search, Breadth-First Search</t>
        </is>
      </c>
      <c r="L141" s="16" t="inlineStr">
        <is>
          <t>possible-bipartition</t>
        </is>
      </c>
    </row>
    <row r="142">
      <c r="C142" s="16" t="inlineStr">
        <is>
          <t>SQL</t>
        </is>
      </c>
      <c r="E142" s="16" t="inlineStr">
        <is>
          <t>Medium</t>
        </is>
      </c>
      <c r="H142" s="21">
        <f>IF(G142=TRUE,IF(H142="",TODAY(),H142),"")</f>
        <v/>
      </c>
      <c r="K142" s="16" t="inlineStr">
        <is>
          <t>SQL</t>
        </is>
      </c>
      <c r="L142" s="16" t="inlineStr">
        <is>
          <t>confirmation-rate</t>
        </is>
      </c>
    </row>
    <row r="143">
      <c r="C143" s="16" t="inlineStr">
        <is>
          <t>LeetCode</t>
        </is>
      </c>
      <c r="E143" s="16" t="inlineStr">
        <is>
          <t>Medium</t>
        </is>
      </c>
      <c r="H143" s="21">
        <f>IF(G143=TRUE,IF(H143="",TODAY(),H143),"")</f>
        <v/>
      </c>
      <c r="K143" s="16" t="inlineStr">
        <is>
          <t>Array, Depth-First Search</t>
        </is>
      </c>
      <c r="L143" s="16" t="inlineStr">
        <is>
          <t>minimize-hamming-distance-after-swap-operations</t>
        </is>
      </c>
    </row>
    <row r="144">
      <c r="C144" s="16" t="inlineStr">
        <is>
          <t>LeetCode</t>
        </is>
      </c>
      <c r="E144" s="16" t="inlineStr">
        <is>
          <t>Medium</t>
        </is>
      </c>
      <c r="H144" s="21">
        <f>IF(G144=TRUE,IF(H144="",TODAY(),H144),"")</f>
        <v/>
      </c>
      <c r="K144" s="16" t="inlineStr">
        <is>
          <t>Array, Matrix</t>
        </is>
      </c>
      <c r="L144" s="16" t="inlineStr">
        <is>
          <t>difference-between-ones-and-zeros-in-row-and-column</t>
        </is>
      </c>
    </row>
    <row r="145">
      <c r="C145" s="16" t="inlineStr">
        <is>
          <t>SQL</t>
        </is>
      </c>
      <c r="E145" s="16" t="inlineStr">
        <is>
          <t>Medium</t>
        </is>
      </c>
      <c r="H145" s="21">
        <f>IF(G145=TRUE,IF(H145="",TODAY(),H145),"")</f>
        <v/>
      </c>
      <c r="K145" s="16" t="inlineStr">
        <is>
          <t>SQL</t>
        </is>
      </c>
      <c r="L145" s="16" t="inlineStr">
        <is>
          <t>product-sales-analysis-iii</t>
        </is>
      </c>
      <c r="M145" s="16" t="inlineStr">
        <is>
          <t>Product Sales Analysis III</t>
        </is>
      </c>
    </row>
    <row r="146">
      <c r="C146" s="16" t="inlineStr">
        <is>
          <t>Codeforces</t>
        </is>
      </c>
      <c r="E146" s="16" t="inlineStr">
        <is>
          <t>CF 1200</t>
        </is>
      </c>
      <c r="H146" s="21">
        <f>IF(G146=TRUE,IF(H146="",TODAY(),H146),"")</f>
        <v/>
      </c>
      <c r="K146" s="16" t="inlineStr">
        <is>
          <t>brute force</t>
        </is>
      </c>
      <c r="L146" s="16" t="inlineStr">
        <is>
          <t>https://codeforces.com/problemset?order=BY_SOLVED_DESC&amp;tags=brute%20force,1200-1200</t>
        </is>
      </c>
      <c r="M146" s="16" t="inlineStr">
        <is>
          <t>Most-solved unsolved: brute force · 1200</t>
        </is>
      </c>
    </row>
    <row r="147">
      <c r="C147" s="16" t="inlineStr">
        <is>
          <t>Codeforces</t>
        </is>
      </c>
      <c r="E147" s="16" t="inlineStr">
        <is>
          <t>CF 1300</t>
        </is>
      </c>
      <c r="H147" s="21">
        <f>IF(G147=TRUE,IF(H147="",TODAY(),H147),"")</f>
        <v/>
      </c>
      <c r="K147" s="16" t="inlineStr">
        <is>
          <t>data structures</t>
        </is>
      </c>
      <c r="L147" s="16" t="inlineStr">
        <is>
          <t>https://codeforces.com/problemset?order=BY_SOLVED_DESC&amp;tags=data%20structures,1300-1300</t>
        </is>
      </c>
      <c r="M147" s="16" t="inlineStr">
        <is>
          <t>Most-solved unsolved: data structures · 1300</t>
        </is>
      </c>
    </row>
    <row r="148">
      <c r="C148" s="16" t="inlineStr">
        <is>
          <t>LeetCode</t>
        </is>
      </c>
      <c r="E148" s="16" t="inlineStr">
        <is>
          <t>Medium</t>
        </is>
      </c>
      <c r="H148" s="21">
        <f>IF(G148=TRUE,IF(H148="",TODAY(),H148),"")</f>
        <v/>
      </c>
      <c r="K148" s="16" t="inlineStr">
        <is>
          <t>Array, Hash Table</t>
        </is>
      </c>
      <c r="L148" s="16" t="inlineStr">
        <is>
          <t>pairs-of-songs-with-total-durations-divisible-by-60</t>
        </is>
      </c>
    </row>
    <row r="149">
      <c r="C149" s="16" t="inlineStr">
        <is>
          <t>LeetCode</t>
        </is>
      </c>
      <c r="E149" s="16" t="inlineStr">
        <is>
          <t>Medium</t>
        </is>
      </c>
      <c r="H149" s="21">
        <f>IF(G149=TRUE,IF(H149="",TODAY(),H149),"")</f>
        <v/>
      </c>
      <c r="K149" s="16" t="inlineStr">
        <is>
          <t>String, Tree</t>
        </is>
      </c>
      <c r="L149" s="16" t="inlineStr">
        <is>
          <t>serialize-and-deserialize-bst</t>
        </is>
      </c>
    </row>
    <row r="150">
      <c r="C150" s="16" t="inlineStr">
        <is>
          <t>SQL</t>
        </is>
      </c>
      <c r="E150" s="16" t="inlineStr">
        <is>
          <t>Easy</t>
        </is>
      </c>
      <c r="H150" s="21">
        <f>IF(G150=TRUE,IF(H150="",TODAY(),H150),"")</f>
        <v/>
      </c>
      <c r="K150" s="16" t="inlineStr">
        <is>
          <t>SQL</t>
        </is>
      </c>
      <c r="L150" s="16" t="inlineStr">
        <is>
          <t>classes-with-at-least-5-students</t>
        </is>
      </c>
    </row>
    <row r="151">
      <c r="C151" s="16" t="inlineStr">
        <is>
          <t>LeetCode</t>
        </is>
      </c>
      <c r="E151" s="16" t="inlineStr">
        <is>
          <t>Medium</t>
        </is>
      </c>
      <c r="H151" s="21">
        <f>IF(G151=TRUE,IF(H151="",TODAY(),H151),"")</f>
        <v/>
      </c>
      <c r="K151" s="16" t="inlineStr">
        <is>
          <t>Array, Binary Search</t>
        </is>
      </c>
      <c r="L151" s="16" t="inlineStr">
        <is>
          <t>find-the-safest-path-in-a-grid</t>
        </is>
      </c>
    </row>
    <row r="152">
      <c r="C152" s="16" t="inlineStr">
        <is>
          <t>LeetCode</t>
        </is>
      </c>
      <c r="E152" s="16" t="inlineStr">
        <is>
          <t>Medium</t>
        </is>
      </c>
      <c r="H152" s="21">
        <f>IF(G152=TRUE,IF(H152="",TODAY(),H152),"")</f>
        <v/>
      </c>
      <c r="K152" s="16" t="inlineStr">
        <is>
          <t>Array, Binary Search</t>
        </is>
      </c>
      <c r="L152" s="16" t="inlineStr">
        <is>
          <t>search-a-2d-matrix-ii</t>
        </is>
      </c>
      <c r="M152" s="16" t="inlineStr">
        <is>
          <t>Search a 2D Matrix II</t>
        </is>
      </c>
    </row>
    <row r="153">
      <c r="C153" s="16" t="inlineStr">
        <is>
          <t>SQL</t>
        </is>
      </c>
      <c r="E153" s="16" t="inlineStr">
        <is>
          <t>Easy</t>
        </is>
      </c>
      <c r="H153" s="21">
        <f>IF(G153=TRUE,IF(H153="",TODAY(),H153),"")</f>
        <v/>
      </c>
      <c r="K153" s="16" t="inlineStr">
        <is>
          <t>SQL</t>
        </is>
      </c>
      <c r="L153" s="16" t="inlineStr">
        <is>
          <t>customer-placing-the-largest-number-of-orders</t>
        </is>
      </c>
    </row>
    <row r="154">
      <c r="C154" s="16" t="inlineStr">
        <is>
          <t>LeetCode</t>
        </is>
      </c>
      <c r="E154" s="16" t="inlineStr">
        <is>
          <t>Medium</t>
        </is>
      </c>
      <c r="H154" s="21">
        <f>IF(G154=TRUE,IF(H154="",TODAY(),H154),"")</f>
        <v/>
      </c>
      <c r="K154" s="16" t="inlineStr">
        <is>
          <t>Hash Table, String</t>
        </is>
      </c>
      <c r="L154" s="16" t="inlineStr">
        <is>
          <t>custom-sort-string</t>
        </is>
      </c>
    </row>
    <row r="155">
      <c r="C155" s="16" t="inlineStr">
        <is>
          <t>LeetCode</t>
        </is>
      </c>
      <c r="E155" s="16" t="inlineStr">
        <is>
          <t>Medium</t>
        </is>
      </c>
      <c r="H155" s="21">
        <f>IF(G155=TRUE,IF(H155="",TODAY(),H155),"")</f>
        <v/>
      </c>
      <c r="K155" s="16" t="inlineStr">
        <is>
          <t>Array, Hash Table</t>
        </is>
      </c>
      <c r="L155" s="16" t="inlineStr">
        <is>
          <t>find-all-possible-recipes-from-given-supplies</t>
        </is>
      </c>
    </row>
    <row r="156">
      <c r="C156" s="16" t="inlineStr">
        <is>
          <t>SQL</t>
        </is>
      </c>
      <c r="E156" s="16" t="inlineStr">
        <is>
          <t>Medium</t>
        </is>
      </c>
      <c r="H156" s="21">
        <f>IF(G156=TRUE,IF(H156="",TODAY(),H156),"")</f>
        <v/>
      </c>
      <c r="K156" s="16" t="inlineStr">
        <is>
          <t>SQL</t>
        </is>
      </c>
      <c r="L156" s="16" t="inlineStr">
        <is>
          <t>rank-scores</t>
        </is>
      </c>
    </row>
    <row r="157">
      <c r="C157" s="16" t="inlineStr">
        <is>
          <t>LeetCode</t>
        </is>
      </c>
      <c r="E157" s="16" t="inlineStr">
        <is>
          <t>Medium</t>
        </is>
      </c>
      <c r="H157" s="21">
        <f>IF(G157=TRUE,IF(H157="",TODAY(),H157),"")</f>
        <v/>
      </c>
      <c r="K157" s="16" t="inlineStr">
        <is>
          <t>Array, Hash Table</t>
        </is>
      </c>
      <c r="L157" s="16" t="inlineStr">
        <is>
          <t>longest-palindrome-by-concatenating-two-letter-words</t>
        </is>
      </c>
    </row>
    <row r="158">
      <c r="C158" s="16" t="inlineStr">
        <is>
          <t>LeetCode</t>
        </is>
      </c>
      <c r="E158" s="16" t="inlineStr">
        <is>
          <t>Medium</t>
        </is>
      </c>
      <c r="H158" s="21">
        <f>IF(G158=TRUE,IF(H158="",TODAY(),H158),"")</f>
        <v/>
      </c>
      <c r="K158" s="16" t="inlineStr">
        <is>
          <t>Backtracking, Depth-First Search</t>
        </is>
      </c>
      <c r="L158" s="16" t="inlineStr">
        <is>
          <t>all-paths-from-source-to-target</t>
        </is>
      </c>
    </row>
    <row r="159">
      <c r="C159" s="16" t="inlineStr">
        <is>
          <t>SQL</t>
        </is>
      </c>
      <c r="E159" s="16" t="inlineStr">
        <is>
          <t>Easy</t>
        </is>
      </c>
      <c r="H159" s="21">
        <f>IF(G159=TRUE,IF(H159="",TODAY(),H159),"")</f>
        <v/>
      </c>
      <c r="K159" s="16" t="inlineStr">
        <is>
          <t>SQL</t>
        </is>
      </c>
      <c r="L159" s="16" t="inlineStr">
        <is>
          <t>biggest-single-number</t>
        </is>
      </c>
    </row>
    <row r="160">
      <c r="C160" s="16" t="inlineStr">
        <is>
          <t>LeetCode</t>
        </is>
      </c>
      <c r="E160" s="16" t="inlineStr">
        <is>
          <t>Medium</t>
        </is>
      </c>
      <c r="H160" s="21">
        <f>IF(G160=TRUE,IF(H160="",TODAY(),H160),"")</f>
        <v/>
      </c>
      <c r="K160" s="16" t="inlineStr">
        <is>
          <t>Array, Hash Table</t>
        </is>
      </c>
      <c r="L160" s="16" t="inlineStr">
        <is>
          <t>3sum-with-multiplicity</t>
        </is>
      </c>
    </row>
    <row r="161">
      <c r="C161" s="16" t="inlineStr">
        <is>
          <t>LeetCode</t>
        </is>
      </c>
      <c r="E161" s="16" t="inlineStr">
        <is>
          <t>Medium</t>
        </is>
      </c>
      <c r="H161" s="21">
        <f>IF(G161=TRUE,IF(H161="",TODAY(),H161),"")</f>
        <v/>
      </c>
      <c r="K161" s="16" t="inlineStr">
        <is>
          <t>Array, Greedy</t>
        </is>
      </c>
      <c r="L161" s="16" t="inlineStr">
        <is>
          <t>minimum-domino-rotations-for-equal-row</t>
        </is>
      </c>
    </row>
    <row r="162">
      <c r="C162" s="16" t="inlineStr">
        <is>
          <t>SQL</t>
        </is>
      </c>
      <c r="E162" s="16" t="inlineStr">
        <is>
          <t>Easy</t>
        </is>
      </c>
      <c r="H162" s="21">
        <f>IF(G162=TRUE,IF(H162="",TODAY(),H162),"")</f>
        <v/>
      </c>
      <c r="K162" s="16" t="inlineStr">
        <is>
          <t>SQL</t>
        </is>
      </c>
      <c r="L162" s="16" t="inlineStr">
        <is>
          <t>queries-quality-and-percentage</t>
        </is>
      </c>
    </row>
    <row r="163">
      <c r="C163" s="16" t="inlineStr">
        <is>
          <t>LeetCode</t>
        </is>
      </c>
      <c r="E163" s="16" t="inlineStr">
        <is>
          <t>Medium</t>
        </is>
      </c>
      <c r="H163" s="21">
        <f>IF(G163=TRUE,IF(H163="",TODAY(),H163),"")</f>
        <v/>
      </c>
      <c r="K163" s="16" t="inlineStr">
        <is>
          <t>Array, Sorting</t>
        </is>
      </c>
      <c r="L163" s="16" t="inlineStr">
        <is>
          <t>sort-the-students-by-their-kth-score</t>
        </is>
      </c>
    </row>
    <row r="164">
      <c r="C164" s="16" t="inlineStr">
        <is>
          <t>LeetCode</t>
        </is>
      </c>
      <c r="E164" s="16" t="inlineStr">
        <is>
          <t>Medium</t>
        </is>
      </c>
      <c r="H164" s="21">
        <f>IF(G164=TRUE,IF(H164="",TODAY(),H164),"")</f>
        <v/>
      </c>
      <c r="K164" s="16" t="inlineStr">
        <is>
          <t>Array, Binary Search</t>
        </is>
      </c>
      <c r="L164" s="16" t="inlineStr">
        <is>
          <t>minimum-absolute-sum-difference</t>
        </is>
      </c>
    </row>
    <row r="165">
      <c r="C165" s="16" t="inlineStr">
        <is>
          <t>SQL</t>
        </is>
      </c>
      <c r="E165" s="16" t="inlineStr">
        <is>
          <t>Medium</t>
        </is>
      </c>
      <c r="H165" s="21">
        <f>IF(G165=TRUE,IF(H165="",TODAY(),H165),"")</f>
        <v/>
      </c>
      <c r="K165" s="16" t="inlineStr">
        <is>
          <t>SQL</t>
        </is>
      </c>
      <c r="L165" s="16" t="inlineStr">
        <is>
          <t>find-students-who-improved</t>
        </is>
      </c>
    </row>
    <row r="166">
      <c r="C166" s="16" t="inlineStr">
        <is>
          <t>LeetCode</t>
        </is>
      </c>
      <c r="E166" s="16" t="inlineStr">
        <is>
          <t>Medium</t>
        </is>
      </c>
      <c r="H166" s="21">
        <f>IF(G166=TRUE,IF(H166="",TODAY(),H166),"")</f>
        <v/>
      </c>
      <c r="K166" s="16" t="inlineStr">
        <is>
          <t>Array, Heap (Priority Queue)</t>
        </is>
      </c>
      <c r="L166" s="16" t="inlineStr">
        <is>
          <t>find-k-pairs-with-smallest-sums</t>
        </is>
      </c>
    </row>
    <row r="167">
      <c r="C167" s="16" t="inlineStr">
        <is>
          <t>LeetCode</t>
        </is>
      </c>
      <c r="E167" s="16" t="inlineStr">
        <is>
          <t>Medium</t>
        </is>
      </c>
      <c r="H167" s="21">
        <f>IF(G167=TRUE,IF(H167="",TODAY(),H167),"")</f>
        <v/>
      </c>
      <c r="K167" s="16" t="inlineStr">
        <is>
          <t>Array, Math</t>
        </is>
      </c>
      <c r="L167" s="16" t="inlineStr">
        <is>
          <t>stone-game-vi</t>
        </is>
      </c>
      <c r="M167" s="16" t="inlineStr">
        <is>
          <t>Stone Game VI</t>
        </is>
      </c>
    </row>
    <row r="168">
      <c r="C168" s="16" t="inlineStr">
        <is>
          <t>SQL</t>
        </is>
      </c>
      <c r="E168" s="16" t="inlineStr">
        <is>
          <t>Easy</t>
        </is>
      </c>
      <c r="H168" s="21">
        <f>IF(G168=TRUE,IF(H168="",TODAY(),H168),"")</f>
        <v/>
      </c>
      <c r="K168" s="16" t="inlineStr">
        <is>
          <t>SQL</t>
        </is>
      </c>
      <c r="L168" s="16" t="inlineStr">
        <is>
          <t>employees-whose-manager-left-the-company</t>
        </is>
      </c>
    </row>
    <row r="169">
      <c r="C169" s="16" t="inlineStr">
        <is>
          <t>Codeforces</t>
        </is>
      </c>
      <c r="E169" s="16" t="inlineStr">
        <is>
          <t>CF 1200</t>
        </is>
      </c>
      <c r="H169" s="21">
        <f>IF(G169=TRUE,IF(H169="",TODAY(),H169),"")</f>
        <v/>
      </c>
      <c r="K169" s="16" t="inlineStr">
        <is>
          <t>greedy</t>
        </is>
      </c>
      <c r="L169" s="16" t="inlineStr">
        <is>
          <t>https://codeforces.com/problemset?order=BY_SOLVED_DESC&amp;tags=greedy,1200-1200</t>
        </is>
      </c>
      <c r="M169" s="16" t="inlineStr">
        <is>
          <t>Most-solved unsolved: greedy · 1200</t>
        </is>
      </c>
    </row>
    <row r="170">
      <c r="C170" s="16" t="inlineStr">
        <is>
          <t>Codeforces</t>
        </is>
      </c>
      <c r="E170" s="16" t="inlineStr">
        <is>
          <t>CF 1300</t>
        </is>
      </c>
      <c r="H170" s="21">
        <f>IF(G170=TRUE,IF(H170="",TODAY(),H170),"")</f>
        <v/>
      </c>
      <c r="K170" s="16" t="inlineStr">
        <is>
          <t>constructive algorithms</t>
        </is>
      </c>
      <c r="L170" s="16" t="inlineStr">
        <is>
          <t>https://codeforces.com/problemset?order=BY_SOLVED_DESC&amp;tags=constructive%20algorithms,1300-1300</t>
        </is>
      </c>
      <c r="M170" s="16" t="inlineStr">
        <is>
          <t>Most-solved unsolved: constructive algorithms · 1300</t>
        </is>
      </c>
    </row>
    <row r="171">
      <c r="C171" s="16" t="inlineStr">
        <is>
          <t>LeetCode</t>
        </is>
      </c>
      <c r="E171" s="16" t="inlineStr">
        <is>
          <t>Medium</t>
        </is>
      </c>
      <c r="H171" s="21">
        <f>IF(G171=TRUE,IF(H171="",TODAY(),H171),"")</f>
        <v/>
      </c>
      <c r="K171" s="16" t="inlineStr">
        <is>
          <t>Array, Greedy</t>
        </is>
      </c>
      <c r="L171" s="16" t="inlineStr">
        <is>
          <t>minimum-increment-to-make-array-unique</t>
        </is>
      </c>
    </row>
    <row r="172">
      <c r="C172" s="16" t="inlineStr">
        <is>
          <t>LeetCode</t>
        </is>
      </c>
      <c r="E172" s="16" t="inlineStr">
        <is>
          <t>Medium</t>
        </is>
      </c>
      <c r="H172" s="21">
        <f>IF(G172=TRUE,IF(H172="",TODAY(),H172),"")</f>
        <v/>
      </c>
      <c r="K172" s="16" t="inlineStr">
        <is>
          <t>Tree, Depth-First Search</t>
        </is>
      </c>
      <c r="L172" s="16" t="inlineStr">
        <is>
          <t>reverse-odd-levels-of-binary-tree</t>
        </is>
      </c>
    </row>
    <row r="173">
      <c r="C173" s="16" t="inlineStr">
        <is>
          <t>SQL</t>
        </is>
      </c>
      <c r="E173" s="16" t="inlineStr">
        <is>
          <t>Easy</t>
        </is>
      </c>
      <c r="H173" s="21">
        <f>IF(G173=TRUE,IF(H173="",TODAY(),H173),"")</f>
        <v/>
      </c>
      <c r="K173" s="16" t="inlineStr">
        <is>
          <t>SQL</t>
        </is>
      </c>
      <c r="L173" s="16" t="inlineStr">
        <is>
          <t>sales-analysis-iii</t>
        </is>
      </c>
      <c r="M173" s="16" t="inlineStr">
        <is>
          <t>Sales Analysis III</t>
        </is>
      </c>
    </row>
    <row r="174">
      <c r="C174" s="16" t="inlineStr">
        <is>
          <t>LeetCode</t>
        </is>
      </c>
      <c r="E174" s="16" t="inlineStr">
        <is>
          <t>Medium</t>
        </is>
      </c>
      <c r="H174" s="21">
        <f>IF(G174=TRUE,IF(H174="",TODAY(),H174),"")</f>
        <v/>
      </c>
      <c r="K174" s="16" t="inlineStr">
        <is>
          <t>Array, Depth-First Search</t>
        </is>
      </c>
      <c r="L174" s="16" t="inlineStr">
        <is>
          <t>jump-game-iii</t>
        </is>
      </c>
      <c r="M174" s="16" t="inlineStr">
        <is>
          <t>Jump Game III</t>
        </is>
      </c>
    </row>
    <row r="175">
      <c r="C175" s="16" t="inlineStr">
        <is>
          <t>LeetCode</t>
        </is>
      </c>
      <c r="E175" s="16" t="inlineStr">
        <is>
          <t>Medium</t>
        </is>
      </c>
      <c r="H175" s="21">
        <f>IF(G175=TRUE,IF(H175="",TODAY(),H175),"")</f>
        <v/>
      </c>
      <c r="K175" s="16" t="inlineStr">
        <is>
          <t>Math, Backtracking</t>
        </is>
      </c>
      <c r="L175" s="16" t="inlineStr">
        <is>
          <t>maximum-split-of-positive-even-integers</t>
        </is>
      </c>
    </row>
    <row r="176">
      <c r="C176" s="16" t="inlineStr">
        <is>
          <t>SQL</t>
        </is>
      </c>
      <c r="E176" s="16" t="inlineStr">
        <is>
          <t>Easy</t>
        </is>
      </c>
      <c r="H176" s="21">
        <f>IF(G176=TRUE,IF(H176="",TODAY(),H176),"")</f>
        <v/>
      </c>
      <c r="K176" s="16" t="inlineStr">
        <is>
          <t>SQL</t>
        </is>
      </c>
      <c r="L176" s="16" t="inlineStr">
        <is>
          <t>calculate-special-bonus</t>
        </is>
      </c>
    </row>
    <row r="177">
      <c r="C177" s="16" t="inlineStr">
        <is>
          <t>LeetCode</t>
        </is>
      </c>
      <c r="E177" s="16" t="inlineStr">
        <is>
          <t>Medium</t>
        </is>
      </c>
      <c r="H177" s="21">
        <f>IF(G177=TRUE,IF(H177="",TODAY(),H177),"")</f>
        <v/>
      </c>
      <c r="K177" s="16" t="inlineStr">
        <is>
          <t>Array, Divide and Conquer</t>
        </is>
      </c>
      <c r="L177" s="16" t="inlineStr">
        <is>
          <t>range-sum-query-mutable</t>
        </is>
      </c>
    </row>
    <row r="178">
      <c r="C178" s="16" t="inlineStr">
        <is>
          <t>LeetCode</t>
        </is>
      </c>
      <c r="E178" s="16" t="inlineStr">
        <is>
          <t>Medium</t>
        </is>
      </c>
      <c r="H178" s="21">
        <f>IF(G178=TRUE,IF(H178="",TODAY(),H178),"")</f>
        <v/>
      </c>
      <c r="K178" s="16" t="inlineStr">
        <is>
          <t>Array, Binary Search</t>
        </is>
      </c>
      <c r="L178" s="16" t="inlineStr">
        <is>
          <t>find-right-interval</t>
        </is>
      </c>
    </row>
    <row r="179">
      <c r="C179" s="16" t="inlineStr">
        <is>
          <t>SQL</t>
        </is>
      </c>
      <c r="E179" s="16" t="inlineStr">
        <is>
          <t>Easy</t>
        </is>
      </c>
      <c r="H179" s="21">
        <f>IF(G179=TRUE,IF(H179="",TODAY(),H179),"")</f>
        <v/>
      </c>
      <c r="K179" s="16" t="inlineStr">
        <is>
          <t>SQL</t>
        </is>
      </c>
      <c r="L179" s="16" t="inlineStr">
        <is>
          <t>find-products-with-valid-serial-numbers</t>
        </is>
      </c>
    </row>
    <row r="180">
      <c r="C180" s="16" t="inlineStr">
        <is>
          <t>LeetCode</t>
        </is>
      </c>
      <c r="E180" s="16" t="inlineStr">
        <is>
          <t>Medium</t>
        </is>
      </c>
      <c r="H180" s="21">
        <f>IF(G180=TRUE,IF(H180="",TODAY(),H180),"")</f>
        <v/>
      </c>
      <c r="K180" s="16" t="inlineStr">
        <is>
          <t>Array, Binary Search</t>
        </is>
      </c>
      <c r="L180" s="16" t="inlineStr">
        <is>
          <t>minimum-limit-of-balls-in-a-bag</t>
        </is>
      </c>
    </row>
    <row r="181">
      <c r="C181" s="16" t="inlineStr">
        <is>
          <t>LeetCode</t>
        </is>
      </c>
      <c r="E181" s="16" t="inlineStr">
        <is>
          <t>Medium</t>
        </is>
      </c>
      <c r="H181" s="21">
        <f>IF(G181=TRUE,IF(H181="",TODAY(),H181),"")</f>
        <v/>
      </c>
      <c r="K181" s="16" t="inlineStr">
        <is>
          <t>String, Greedy</t>
        </is>
      </c>
      <c r="L181" s="16" t="inlineStr">
        <is>
          <t>minimum-suffix-flips</t>
        </is>
      </c>
    </row>
    <row r="182">
      <c r="C182" s="16" t="inlineStr">
        <is>
          <t>SQL</t>
        </is>
      </c>
      <c r="E182" s="16" t="inlineStr">
        <is>
          <t>Easy</t>
        </is>
      </c>
      <c r="H182" s="21">
        <f>IF(G182=TRUE,IF(H182="",TODAY(),H182),"")</f>
        <v/>
      </c>
      <c r="K182" s="16" t="inlineStr">
        <is>
          <t>SQL</t>
        </is>
      </c>
      <c r="L182" s="16" t="inlineStr">
        <is>
          <t>triangle-judgement</t>
        </is>
      </c>
    </row>
    <row r="183">
      <c r="C183" s="16" t="inlineStr">
        <is>
          <t>LeetCode</t>
        </is>
      </c>
      <c r="E183" s="16" t="inlineStr">
        <is>
          <t>Medium</t>
        </is>
      </c>
      <c r="H183" s="21">
        <f>IF(G183=TRUE,IF(H183="",TODAY(),H183),"")</f>
        <v/>
      </c>
      <c r="K183" s="16" t="inlineStr">
        <is>
          <t>String, Recursion</t>
        </is>
      </c>
      <c r="L183" s="16" t="inlineStr">
        <is>
          <t>find-kth-bit-in-nth-binary-string</t>
        </is>
      </c>
    </row>
    <row r="184">
      <c r="C184" s="16" t="inlineStr">
        <is>
          <t>LeetCode</t>
        </is>
      </c>
      <c r="E184" s="16" t="inlineStr">
        <is>
          <t>Medium</t>
        </is>
      </c>
      <c r="H184" s="21">
        <f>IF(G184=TRUE,IF(H184="",TODAY(),H184),"")</f>
        <v/>
      </c>
      <c r="K184" s="16" t="inlineStr">
        <is>
          <t>Array, Hash Table</t>
        </is>
      </c>
      <c r="L184" s="16" t="inlineStr">
        <is>
          <t>maximum-subarray-sum-with-length-divisible-by-k</t>
        </is>
      </c>
    </row>
    <row r="185">
      <c r="C185" s="16" t="inlineStr">
        <is>
          <t>SQL</t>
        </is>
      </c>
      <c r="E185" s="16" t="inlineStr">
        <is>
          <t>Easy</t>
        </is>
      </c>
      <c r="H185" s="21">
        <f>IF(G185=TRUE,IF(H185="",TODAY(),H185),"")</f>
        <v/>
      </c>
      <c r="K185" s="16" t="inlineStr">
        <is>
          <t>SQL</t>
        </is>
      </c>
      <c r="L185" s="16" t="inlineStr">
        <is>
          <t>the-latest-login-in-2020</t>
        </is>
      </c>
    </row>
    <row r="186">
      <c r="C186" s="16" t="inlineStr">
        <is>
          <t>LeetCode</t>
        </is>
      </c>
      <c r="E186" s="16" t="inlineStr">
        <is>
          <t>Medium</t>
        </is>
      </c>
      <c r="H186" s="21">
        <f>IF(G186=TRUE,IF(H186="",TODAY(),H186),"")</f>
        <v/>
      </c>
      <c r="K186" s="16" t="inlineStr">
        <is>
          <t>Array, Depth-First Search</t>
        </is>
      </c>
      <c r="L186" s="16" t="inlineStr">
        <is>
          <t>count-servers-that-communicate</t>
        </is>
      </c>
    </row>
    <row r="187">
      <c r="C187" s="16" t="inlineStr">
        <is>
          <t>LeetCode</t>
        </is>
      </c>
      <c r="E187" s="16" t="inlineStr">
        <is>
          <t>Medium</t>
        </is>
      </c>
      <c r="H187" s="21">
        <f>IF(G187=TRUE,IF(H187="",TODAY(),H187),"")</f>
        <v/>
      </c>
      <c r="K187" s="16" t="inlineStr">
        <is>
          <t>Hash Table, String</t>
        </is>
      </c>
      <c r="L187" s="16" t="inlineStr">
        <is>
          <t>sum-of-beauty-of-all-substrings</t>
        </is>
      </c>
    </row>
    <row r="188">
      <c r="C188" s="16" t="inlineStr">
        <is>
          <t>SQL</t>
        </is>
      </c>
      <c r="E188" s="16" t="inlineStr">
        <is>
          <t>Medium</t>
        </is>
      </c>
      <c r="H188" s="21">
        <f>IF(G188=TRUE,IF(H188="",TODAY(),H188),"")</f>
        <v/>
      </c>
      <c r="K188" s="16" t="inlineStr">
        <is>
          <t>SQL</t>
        </is>
      </c>
      <c r="L188" s="16" t="inlineStr">
        <is>
          <t>customers-who-bought-all-products</t>
        </is>
      </c>
    </row>
    <row r="189">
      <c r="C189" s="16" t="inlineStr">
        <is>
          <t>LeetCode</t>
        </is>
      </c>
      <c r="E189" s="16" t="inlineStr">
        <is>
          <t>Medium</t>
        </is>
      </c>
      <c r="H189" s="21">
        <f>IF(G189=TRUE,IF(H189="",TODAY(),H189),"")</f>
        <v/>
      </c>
      <c r="K189" s="16" t="inlineStr">
        <is>
          <t>Array, Sliding Window</t>
        </is>
      </c>
      <c r="L189" s="16" t="inlineStr">
        <is>
          <t>k-radius-subarray-averages</t>
        </is>
      </c>
    </row>
    <row r="190">
      <c r="C190" s="16" t="inlineStr">
        <is>
          <t>LeetCode</t>
        </is>
      </c>
      <c r="E190" s="16" t="inlineStr">
        <is>
          <t>Medium</t>
        </is>
      </c>
      <c r="H190" s="21">
        <f>IF(G190=TRUE,IF(H190="",TODAY(),H190),"")</f>
        <v/>
      </c>
      <c r="K190" s="16" t="inlineStr">
        <is>
          <t>Array, String</t>
        </is>
      </c>
      <c r="L190" s="16" t="inlineStr">
        <is>
          <t>minimum-cost-to-convert-string-i</t>
        </is>
      </c>
      <c r="M190" s="16" t="inlineStr">
        <is>
          <t>Minimum Cost to Convert String I</t>
        </is>
      </c>
    </row>
    <row r="191">
      <c r="C191" s="16" t="inlineStr">
        <is>
          <t>SQL</t>
        </is>
      </c>
      <c r="E191" s="16" t="inlineStr">
        <is>
          <t>Easy</t>
        </is>
      </c>
      <c r="H191" s="21">
        <f>IF(G191=TRUE,IF(H191="",TODAY(),H191),"")</f>
        <v/>
      </c>
      <c r="K191" s="16" t="inlineStr">
        <is>
          <t>SQL</t>
        </is>
      </c>
      <c r="L191" s="16" t="inlineStr">
        <is>
          <t>percentage-of-users-attended-a-contest</t>
        </is>
      </c>
    </row>
    <row r="192">
      <c r="C192" s="16" t="inlineStr">
        <is>
          <t>Codeforces</t>
        </is>
      </c>
      <c r="E192" s="16" t="inlineStr">
        <is>
          <t>CF 1200</t>
        </is>
      </c>
      <c r="H192" s="21">
        <f>IF(G192=TRUE,IF(H192="",TODAY(),H192),"")</f>
        <v/>
      </c>
      <c r="K192" s="16" t="inlineStr">
        <is>
          <t>math</t>
        </is>
      </c>
      <c r="L192" s="16" t="inlineStr">
        <is>
          <t>https://codeforces.com/problemset?order=BY_SOLVED_DESC&amp;tags=math,1200-1200</t>
        </is>
      </c>
      <c r="M192" s="16" t="inlineStr">
        <is>
          <t>Most-solved unsolved: math · 1200</t>
        </is>
      </c>
    </row>
    <row r="193">
      <c r="C193" s="16" t="inlineStr">
        <is>
          <t>Codeforces</t>
        </is>
      </c>
      <c r="E193" s="16" t="inlineStr">
        <is>
          <t>CF 1300</t>
        </is>
      </c>
      <c r="H193" s="21">
        <f>IF(G193=TRUE,IF(H193="",TODAY(),H193),"")</f>
        <v/>
      </c>
      <c r="K193" s="16" t="inlineStr">
        <is>
          <t>implementation</t>
        </is>
      </c>
      <c r="L193" s="16" t="inlineStr">
        <is>
          <t>https://codeforces.com/problemset?order=BY_SOLVED_DESC&amp;tags=implementation,1300-1300</t>
        </is>
      </c>
      <c r="M193" s="16" t="inlineStr">
        <is>
          <t>Most-solved unsolved: implementation · 1300</t>
        </is>
      </c>
    </row>
    <row r="194">
      <c r="C194" s="16" t="inlineStr">
        <is>
          <t>LeetCode</t>
        </is>
      </c>
      <c r="E194" s="16" t="inlineStr">
        <is>
          <t>Medium</t>
        </is>
      </c>
      <c r="H194" s="21">
        <f>IF(G194=TRUE,IF(H194="",TODAY(),H194),"")</f>
        <v/>
      </c>
      <c r="K194" s="16" t="inlineStr">
        <is>
          <t>Array, Hash Table</t>
        </is>
      </c>
      <c r="L194" s="16" t="inlineStr">
        <is>
          <t>maximum-number-of-integers-to-choose-from-a-range-i</t>
        </is>
      </c>
      <c r="M194" s="16" t="inlineStr">
        <is>
          <t>Maximum Number of Integers to Choose From a Range I</t>
        </is>
      </c>
    </row>
    <row r="195">
      <c r="C195" s="16" t="inlineStr">
        <is>
          <t>LeetCode</t>
        </is>
      </c>
      <c r="E195" s="16" t="inlineStr">
        <is>
          <t>Medium</t>
        </is>
      </c>
      <c r="H195" s="21">
        <f>IF(G195=TRUE,IF(H195="",TODAY(),H195),"")</f>
        <v/>
      </c>
      <c r="K195" s="16" t="inlineStr">
        <is>
          <t>Hash Table, Tree</t>
        </is>
      </c>
      <c r="L195" s="16" t="inlineStr">
        <is>
          <t>find-elements-in-a-contaminated-binary-tree</t>
        </is>
      </c>
    </row>
    <row r="196">
      <c r="C196" s="16" t="inlineStr">
        <is>
          <t>SQL</t>
        </is>
      </c>
      <c r="E196" s="16" t="inlineStr">
        <is>
          <t>Easy</t>
        </is>
      </c>
      <c r="H196" s="21">
        <f>IF(G196=TRUE,IF(H196="",TODAY(),H196),"")</f>
        <v/>
      </c>
      <c r="K196" s="16" t="inlineStr">
        <is>
          <t>SQL</t>
        </is>
      </c>
      <c r="L196" s="16" t="inlineStr">
        <is>
          <t>rearrange-products-table</t>
        </is>
      </c>
    </row>
    <row r="197">
      <c r="C197" s="16" t="inlineStr">
        <is>
          <t>LeetCode</t>
        </is>
      </c>
      <c r="E197" s="16" t="inlineStr">
        <is>
          <t>Medium</t>
        </is>
      </c>
      <c r="H197" s="21">
        <f>IF(G197=TRUE,IF(H197="",TODAY(),H197),"")</f>
        <v/>
      </c>
      <c r="K197" s="16" t="inlineStr">
        <is>
          <t>Hash Table, String</t>
        </is>
      </c>
      <c r="L197" s="16" t="inlineStr">
        <is>
          <t>find-the-longest-substring-containing-vowels-in-even-counts</t>
        </is>
      </c>
    </row>
    <row r="198">
      <c r="C198" s="16" t="inlineStr">
        <is>
          <t>LeetCode</t>
        </is>
      </c>
      <c r="E198" s="16" t="inlineStr">
        <is>
          <t>Medium</t>
        </is>
      </c>
      <c r="H198" s="21">
        <f>IF(G198=TRUE,IF(H198="",TODAY(),H198),"")</f>
        <v/>
      </c>
      <c r="K198" s="16" t="inlineStr">
        <is>
          <t>Array, Math</t>
        </is>
      </c>
      <c r="L198" s="16" t="inlineStr">
        <is>
          <t>minimum-number-of-operations-to-make-all-array-elements-equal-to-1</t>
        </is>
      </c>
    </row>
    <row r="199">
      <c r="C199" s="16" t="inlineStr">
        <is>
          <t>SQL</t>
        </is>
      </c>
      <c r="E199" s="16" t="inlineStr">
        <is>
          <t>Easy</t>
        </is>
      </c>
      <c r="H199" s="21">
        <f>IF(G199=TRUE,IF(H199="",TODAY(),H199),"")</f>
        <v/>
      </c>
      <c r="K199" s="16" t="inlineStr">
        <is>
          <t>SQL</t>
        </is>
      </c>
      <c r="L199" s="16" t="inlineStr">
        <is>
          <t>user-activity-for-the-past-30-days-i</t>
        </is>
      </c>
      <c r="M199" s="16" t="inlineStr">
        <is>
          <t>User Activity for the Past 30 Days I</t>
        </is>
      </c>
    </row>
    <row r="200">
      <c r="C200" s="16" t="inlineStr">
        <is>
          <t>LeetCode</t>
        </is>
      </c>
      <c r="E200" s="16" t="inlineStr">
        <is>
          <t>Medium</t>
        </is>
      </c>
      <c r="H200" s="21">
        <f>IF(G200=TRUE,IF(H200="",TODAY(),H200),"")</f>
        <v/>
      </c>
      <c r="K200" s="16" t="inlineStr">
        <is>
          <t>Tree, Depth-First Search</t>
        </is>
      </c>
      <c r="L200" s="16" t="inlineStr">
        <is>
          <t>binary-tree-coloring-game</t>
        </is>
      </c>
    </row>
    <row r="201">
      <c r="C201" s="16" t="inlineStr">
        <is>
          <t>LeetCode</t>
        </is>
      </c>
      <c r="E201" s="16" t="inlineStr">
        <is>
          <t>Medium</t>
        </is>
      </c>
      <c r="H201" s="21">
        <f>IF(G201=TRUE,IF(H201="",TODAY(),H201),"")</f>
        <v/>
      </c>
      <c r="K201" s="16" t="inlineStr">
        <is>
          <t>String, Stack</t>
        </is>
      </c>
      <c r="L201" s="16" t="inlineStr">
        <is>
          <t>remove-all-occurrences-of-a-substring</t>
        </is>
      </c>
    </row>
    <row r="202">
      <c r="C202" s="16" t="inlineStr">
        <is>
          <t>SQL</t>
        </is>
      </c>
      <c r="E202" s="16" t="inlineStr">
        <is>
          <t>Medium</t>
        </is>
      </c>
      <c r="H202" s="21">
        <f>IF(G202=TRUE,IF(H202="",TODAY(),H202),"")</f>
        <v/>
      </c>
      <c r="K202" s="16" t="inlineStr">
        <is>
          <t>SQL</t>
        </is>
      </c>
      <c r="L202" s="16" t="inlineStr">
        <is>
          <t>nth-highest-salary</t>
        </is>
      </c>
    </row>
    <row r="203">
      <c r="C203" s="16" t="inlineStr">
        <is>
          <t>LeetCode</t>
        </is>
      </c>
      <c r="E203" s="16" t="inlineStr">
        <is>
          <t>Medium</t>
        </is>
      </c>
      <c r="H203" s="21">
        <f>IF(G203=TRUE,IF(H203="",TODAY(),H203),"")</f>
        <v/>
      </c>
      <c r="K203" s="16" t="inlineStr">
        <is>
          <t>Array, Two Pointers</t>
        </is>
      </c>
      <c r="L203" s="16" t="inlineStr">
        <is>
          <t>divide-intervals-into-minimum-number-of-groups</t>
        </is>
      </c>
    </row>
    <row r="204">
      <c r="C204" s="16" t="inlineStr">
        <is>
          <t>LeetCode</t>
        </is>
      </c>
      <c r="E204" s="16" t="inlineStr">
        <is>
          <t>Medium</t>
        </is>
      </c>
      <c r="H204" s="21">
        <f>IF(G204=TRUE,IF(H204="",TODAY(),H204),"")</f>
        <v/>
      </c>
      <c r="K204" s="16" t="inlineStr">
        <is>
          <t>Array, Binary Search</t>
        </is>
      </c>
      <c r="L204" s="16" t="inlineStr">
        <is>
          <t>frog-jump-ii</t>
        </is>
      </c>
      <c r="M204" s="16" t="inlineStr">
        <is>
          <t>Frog Jump II</t>
        </is>
      </c>
    </row>
    <row r="205">
      <c r="C205" s="16" t="inlineStr">
        <is>
          <t>SQL</t>
        </is>
      </c>
      <c r="E205" s="16" t="inlineStr">
        <is>
          <t>Easy</t>
        </is>
      </c>
      <c r="H205" s="21">
        <f>IF(G205=TRUE,IF(H205="",TODAY(),H205),"")</f>
        <v/>
      </c>
      <c r="K205" s="16" t="inlineStr">
        <is>
          <t>SQL</t>
        </is>
      </c>
      <c r="L205" s="16" t="inlineStr">
        <is>
          <t>actors-and-directors-who-cooperated-at-least-three-times</t>
        </is>
      </c>
    </row>
    <row r="206">
      <c r="C206" s="16" t="inlineStr">
        <is>
          <t>LeetCode</t>
        </is>
      </c>
      <c r="E206" s="16" t="inlineStr">
        <is>
          <t>Medium</t>
        </is>
      </c>
      <c r="H206" s="21">
        <f>IF(G206=TRUE,IF(H206="",TODAY(),H206),"")</f>
        <v/>
      </c>
      <c r="K206" s="16" t="inlineStr">
        <is>
          <t>Array, Binary Search</t>
        </is>
      </c>
      <c r="L206" s="16" t="inlineStr">
        <is>
          <t>minimum-absolute-difference-between-elements-with-constraint</t>
        </is>
      </c>
    </row>
    <row r="207">
      <c r="C207" s="16" t="inlineStr">
        <is>
          <t>LeetCode</t>
        </is>
      </c>
      <c r="E207" s="16" t="inlineStr">
        <is>
          <t>Medium</t>
        </is>
      </c>
      <c r="H207" s="21">
        <f>IF(G207=TRUE,IF(H207="",TODAY(),H207),"")</f>
        <v/>
      </c>
      <c r="K207" s="16" t="inlineStr">
        <is>
          <t>Array, Greedy</t>
        </is>
      </c>
      <c r="L207" s="16" t="inlineStr">
        <is>
          <t>maximum-area-of-a-piece-of-cake-after-horizontal-and-vertical-cuts</t>
        </is>
      </c>
    </row>
    <row r="208">
      <c r="C208" s="16" t="inlineStr">
        <is>
          <t>SQL</t>
        </is>
      </c>
      <c r="E208" s="16" t="inlineStr">
        <is>
          <t>Medium</t>
        </is>
      </c>
      <c r="H208" s="21">
        <f>IF(G208=TRUE,IF(H208="",TODAY(),H208),"")</f>
        <v/>
      </c>
      <c r="K208" s="16" t="inlineStr">
        <is>
          <t>SQL</t>
        </is>
      </c>
      <c r="L208" s="16" t="inlineStr">
        <is>
          <t>immediate-food-delivery-ii</t>
        </is>
      </c>
      <c r="M208" s="16" t="inlineStr">
        <is>
          <t>Immediate Food Delivery II</t>
        </is>
      </c>
    </row>
    <row r="209">
      <c r="C209" s="16" t="inlineStr">
        <is>
          <t>LeetCode</t>
        </is>
      </c>
      <c r="E209" s="16" t="inlineStr">
        <is>
          <t>Medium</t>
        </is>
      </c>
      <c r="H209" s="21">
        <f>IF(G209=TRUE,IF(H209="",TODAY(),H209),"")</f>
        <v/>
      </c>
      <c r="K209" s="16" t="inlineStr">
        <is>
          <t>Array, Two Pointers</t>
        </is>
      </c>
      <c r="L209" s="16" t="inlineStr">
        <is>
          <t>bag-of-tokens</t>
        </is>
      </c>
    </row>
    <row r="210">
      <c r="C210" s="16" t="inlineStr">
        <is>
          <t>LeetCode</t>
        </is>
      </c>
      <c r="E210" s="16" t="inlineStr">
        <is>
          <t>Medium</t>
        </is>
      </c>
      <c r="H210" s="21">
        <f>IF(G210=TRUE,IF(H210="",TODAY(),H210),"")</f>
        <v/>
      </c>
      <c r="K210" s="16" t="inlineStr">
        <is>
          <t>Array, Hash Table</t>
        </is>
      </c>
      <c r="L210" s="16" t="inlineStr">
        <is>
          <t>find-players-with-zero-or-one-losses</t>
        </is>
      </c>
    </row>
    <row r="211">
      <c r="C211" s="16" t="inlineStr">
        <is>
          <t>SQL</t>
        </is>
      </c>
      <c r="E211" s="16" t="inlineStr">
        <is>
          <t>Medium</t>
        </is>
      </c>
      <c r="H211" s="21">
        <f>IF(G211=TRUE,IF(H211="",TODAY(),H211),"")</f>
        <v/>
      </c>
      <c r="K211" s="16" t="inlineStr">
        <is>
          <t>SQL</t>
        </is>
      </c>
      <c r="L211" s="16" t="inlineStr">
        <is>
          <t>find-consistently-improving-employees</t>
        </is>
      </c>
    </row>
    <row r="212">
      <c r="C212" s="16" t="inlineStr">
        <is>
          <t>LeetCode</t>
        </is>
      </c>
      <c r="E212" s="16" t="inlineStr">
        <is>
          <t>Medium</t>
        </is>
      </c>
      <c r="H212" s="21">
        <f>IF(G212=TRUE,IF(H212="",TODAY(),H212),"")</f>
        <v/>
      </c>
      <c r="K212" s="16" t="inlineStr">
        <is>
          <t>Array, Hash Table</t>
        </is>
      </c>
      <c r="L212" s="16" t="inlineStr">
        <is>
          <t>minimum-number-of-operations-to-make-array-empty</t>
        </is>
      </c>
    </row>
    <row r="213">
      <c r="C213" s="16" t="inlineStr">
        <is>
          <t>LeetCode</t>
        </is>
      </c>
      <c r="E213" s="16" t="inlineStr">
        <is>
          <t>Medium</t>
        </is>
      </c>
      <c r="H213" s="21">
        <f>IF(G213=TRUE,IF(H213="",TODAY(),H213),"")</f>
        <v/>
      </c>
      <c r="K213" s="16" t="inlineStr">
        <is>
          <t>Array, Binary Indexed Tree</t>
        </is>
      </c>
      <c r="L213" s="16" t="inlineStr">
        <is>
          <t>queue-reconstruction-by-height</t>
        </is>
      </c>
    </row>
    <row r="214">
      <c r="C214" s="16" t="inlineStr">
        <is>
          <t>SQL</t>
        </is>
      </c>
      <c r="E214" s="16" t="inlineStr">
        <is>
          <t>Medium</t>
        </is>
      </c>
      <c r="H214" s="21">
        <f>IF(G214=TRUE,IF(H214="",TODAY(),H214),"")</f>
        <v/>
      </c>
      <c r="K214" s="16" t="inlineStr">
        <is>
          <t>SQL</t>
        </is>
      </c>
      <c r="L214" s="16" t="inlineStr">
        <is>
          <t>last-person-to-fit-in-the-bus</t>
        </is>
      </c>
    </row>
    <row r="215">
      <c r="C215" s="16" t="inlineStr">
        <is>
          <t>Codeforces</t>
        </is>
      </c>
      <c r="E215" s="16" t="inlineStr">
        <is>
          <t>CF 1400</t>
        </is>
      </c>
      <c r="H215" s="21">
        <f>IF(G215=TRUE,IF(H215="",TODAY(),H215),"")</f>
        <v/>
      </c>
      <c r="K215" s="16" t="inlineStr">
        <is>
          <t>binary search</t>
        </is>
      </c>
      <c r="L215" s="16" t="inlineStr">
        <is>
          <t>https://codeforces.com/problemset?order=BY_SOLVED_DESC&amp;tags=binary%20search,1400-1400</t>
        </is>
      </c>
      <c r="M215" s="16" t="inlineStr">
        <is>
          <t>Most-solved unsolved: binary search · 1400</t>
        </is>
      </c>
    </row>
    <row r="216">
      <c r="C216" s="16" t="inlineStr">
        <is>
          <t>Codeforces</t>
        </is>
      </c>
      <c r="E216" s="16" t="inlineStr">
        <is>
          <t>CF 1500</t>
        </is>
      </c>
      <c r="H216" s="21">
        <f>IF(G216=TRUE,IF(H216="",TODAY(),H216),"")</f>
        <v/>
      </c>
      <c r="K216" s="16" t="inlineStr">
        <is>
          <t>two pointers</t>
        </is>
      </c>
      <c r="L216" s="16" t="inlineStr">
        <is>
          <t>https://codeforces.com/problemset?order=BY_SOLVED_DESC&amp;tags=two%20pointers,1500-1500</t>
        </is>
      </c>
      <c r="M216" s="16" t="inlineStr">
        <is>
          <t>Most-solved unsolved: two pointers · 1500</t>
        </is>
      </c>
    </row>
    <row r="217">
      <c r="C217" s="16" t="inlineStr">
        <is>
          <t>LeetCode</t>
        </is>
      </c>
      <c r="E217" s="16" t="inlineStr">
        <is>
          <t>Medium</t>
        </is>
      </c>
      <c r="H217" s="21">
        <f>IF(G217=TRUE,IF(H217="",TODAY(),H217),"")</f>
        <v/>
      </c>
      <c r="K217" s="16" t="inlineStr">
        <is>
          <t>Array, Sorting</t>
        </is>
      </c>
      <c r="L217" s="16" t="inlineStr">
        <is>
          <t>sort-the-matrix-diagonally</t>
        </is>
      </c>
    </row>
    <row r="218">
      <c r="C218" s="16" t="inlineStr">
        <is>
          <t>LeetCode</t>
        </is>
      </c>
      <c r="E218" s="16" t="inlineStr">
        <is>
          <t>Medium</t>
        </is>
      </c>
      <c r="H218" s="21">
        <f>IF(G218=TRUE,IF(H218="",TODAY(),H218),"")</f>
        <v/>
      </c>
      <c r="K218" s="16" t="inlineStr">
        <is>
          <t>Hash Table, String</t>
        </is>
      </c>
      <c r="L218" s="16" t="inlineStr">
        <is>
          <t>minimum-number-of-pushes-to-type-word-ii</t>
        </is>
      </c>
      <c r="M218" s="16" t="inlineStr">
        <is>
          <t>Minimum Number of Pushes to Type Word II</t>
        </is>
      </c>
    </row>
    <row r="219">
      <c r="C219" s="16" t="inlineStr">
        <is>
          <t>SQL</t>
        </is>
      </c>
      <c r="E219" s="16" t="inlineStr">
        <is>
          <t>Medium</t>
        </is>
      </c>
      <c r="H219" s="21">
        <f>IF(G219=TRUE,IF(H219="",TODAY(),H219),"")</f>
        <v/>
      </c>
      <c r="K219" s="16" t="inlineStr">
        <is>
          <t>SQL</t>
        </is>
      </c>
      <c r="L219" s="16" t="inlineStr">
        <is>
          <t>odd-and-even-transactions</t>
        </is>
      </c>
    </row>
    <row r="220">
      <c r="C220" s="16" t="inlineStr">
        <is>
          <t>LeetCode</t>
        </is>
      </c>
      <c r="E220" s="16" t="inlineStr">
        <is>
          <t>Hard</t>
        </is>
      </c>
      <c r="H220" s="21">
        <f>IF(G220=TRUE,IF(H220="",TODAY(),H220),"")</f>
        <v/>
      </c>
      <c r="K220" s="16" t="inlineStr">
        <is>
          <t>Graph Theory, Design</t>
        </is>
      </c>
      <c r="L220" s="16" t="inlineStr">
        <is>
          <t>design-graph-with-shortest-path-calculator</t>
        </is>
      </c>
    </row>
    <row r="221">
      <c r="C221" s="16" t="inlineStr">
        <is>
          <t>LeetCode</t>
        </is>
      </c>
      <c r="E221" s="16" t="inlineStr">
        <is>
          <t>Medium</t>
        </is>
      </c>
      <c r="H221" s="21">
        <f>IF(G221=TRUE,IF(H221="",TODAY(),H221),"")</f>
        <v/>
      </c>
      <c r="K221" s="16" t="inlineStr">
        <is>
          <t>Array, Hash Table</t>
        </is>
      </c>
      <c r="L221" s="16" t="inlineStr">
        <is>
          <t>smallest-string-with-swaps</t>
        </is>
      </c>
    </row>
    <row r="222">
      <c r="C222" s="16" t="inlineStr">
        <is>
          <t>SQL</t>
        </is>
      </c>
      <c r="E222" s="16" t="inlineStr">
        <is>
          <t>Easy</t>
        </is>
      </c>
      <c r="H222" s="21">
        <f>IF(G222=TRUE,IF(H222="",TODAY(),H222),"")</f>
        <v/>
      </c>
      <c r="K222" s="16" t="inlineStr">
        <is>
          <t>SQL</t>
        </is>
      </c>
      <c r="L222" s="16" t="inlineStr">
        <is>
          <t>find-users-with-valid-e-mails</t>
        </is>
      </c>
    </row>
    <row r="223">
      <c r="C223" s="16" t="inlineStr">
        <is>
          <t>LeetCode</t>
        </is>
      </c>
      <c r="E223" s="16" t="inlineStr">
        <is>
          <t>Medium</t>
        </is>
      </c>
      <c r="H223" s="21">
        <f>IF(G223=TRUE,IF(H223="",TODAY(),H223),"")</f>
        <v/>
      </c>
      <c r="K223" s="16" t="inlineStr">
        <is>
          <t>Array, Matrix</t>
        </is>
      </c>
      <c r="L223" s="16" t="inlineStr">
        <is>
          <t>matrix-block-sum</t>
        </is>
      </c>
    </row>
    <row r="224">
      <c r="C224" s="16" t="inlineStr">
        <is>
          <t>LeetCode</t>
        </is>
      </c>
      <c r="E224" s="16" t="inlineStr">
        <is>
          <t>Medium</t>
        </is>
      </c>
      <c r="H224" s="21">
        <f>IF(G224=TRUE,IF(H224="",TODAY(),H224),"")</f>
        <v/>
      </c>
      <c r="K224" s="16" t="inlineStr">
        <is>
          <t>Array, Dynamic Programming</t>
        </is>
      </c>
      <c r="L224" s="16" t="inlineStr">
        <is>
          <t>filling-bookcase-shelves</t>
        </is>
      </c>
    </row>
    <row r="225">
      <c r="C225" s="16" t="inlineStr">
        <is>
          <t>SQL</t>
        </is>
      </c>
      <c r="E225" s="16" t="inlineStr">
        <is>
          <t>Medium</t>
        </is>
      </c>
      <c r="H225" s="21">
        <f>IF(G225=TRUE,IF(H225="",TODAY(),H225),"")</f>
        <v/>
      </c>
      <c r="K225" s="16" t="inlineStr">
        <is>
          <t>SQL</t>
        </is>
      </c>
      <c r="L225" s="16" t="inlineStr">
        <is>
          <t>find-covid-recovery-patients</t>
        </is>
      </c>
    </row>
    <row r="226">
      <c r="C226" s="16" t="inlineStr">
        <is>
          <t>LeetCode</t>
        </is>
      </c>
      <c r="E226" s="16" t="inlineStr">
        <is>
          <t>Medium</t>
        </is>
      </c>
      <c r="H226" s="21">
        <f>IF(G226=TRUE,IF(H226="",TODAY(),H226),"")</f>
        <v/>
      </c>
      <c r="K226" s="16" t="inlineStr">
        <is>
          <t>Linked List, Tree</t>
        </is>
      </c>
      <c r="L226" s="16" t="inlineStr">
        <is>
          <t>populating-next-right-pointers-in-each-node-ii</t>
        </is>
      </c>
      <c r="M226" s="16" t="inlineStr">
        <is>
          <t>Populating Next Right Pointers in Each Node II</t>
        </is>
      </c>
    </row>
    <row r="227">
      <c r="C227" s="16" t="inlineStr">
        <is>
          <t>LeetCode</t>
        </is>
      </c>
      <c r="E227" s="16" t="inlineStr">
        <is>
          <t>Hard</t>
        </is>
      </c>
      <c r="H227" s="21">
        <f>IF(G227=TRUE,IF(H227="",TODAY(),H227),"")</f>
        <v/>
      </c>
      <c r="K227" s="16" t="inlineStr">
        <is>
          <t>Array, Hash Table</t>
        </is>
      </c>
      <c r="L227" s="16" t="inlineStr">
        <is>
          <t>number-of-submatrices-that-sum-to-target</t>
        </is>
      </c>
    </row>
    <row r="228">
      <c r="C228" s="16" t="inlineStr">
        <is>
          <t>SQL</t>
        </is>
      </c>
      <c r="E228" s="16" t="inlineStr">
        <is>
          <t>Easy</t>
        </is>
      </c>
      <c r="H228" s="21">
        <f>IF(G228=TRUE,IF(H228="",TODAY(),H228),"")</f>
        <v/>
      </c>
      <c r="K228" s="16" t="inlineStr">
        <is>
          <t>SQL</t>
        </is>
      </c>
      <c r="L228" s="16" t="inlineStr">
        <is>
          <t>top-travellers</t>
        </is>
      </c>
    </row>
    <row r="229">
      <c r="C229" s="16" t="inlineStr">
        <is>
          <t>LeetCode</t>
        </is>
      </c>
      <c r="E229" s="16" t="inlineStr">
        <is>
          <t>Medium</t>
        </is>
      </c>
      <c r="H229" s="21">
        <f>IF(G229=TRUE,IF(H229="",TODAY(),H229),"")</f>
        <v/>
      </c>
      <c r="K229" s="16" t="inlineStr">
        <is>
          <t>Array, Sliding Window</t>
        </is>
      </c>
      <c r="L229" s="16" t="inlineStr">
        <is>
          <t>count-subarrays-where-max-element-appears-at-least-k-times</t>
        </is>
      </c>
    </row>
    <row r="230">
      <c r="C230" s="16" t="inlineStr">
        <is>
          <t>LeetCode</t>
        </is>
      </c>
      <c r="E230" s="16" t="inlineStr">
        <is>
          <t>Medium</t>
        </is>
      </c>
      <c r="H230" s="21">
        <f>IF(G230=TRUE,IF(H230="",TODAY(),H230),"")</f>
        <v/>
      </c>
      <c r="K230" s="16" t="inlineStr">
        <is>
          <t>Hash Table, String</t>
        </is>
      </c>
      <c r="L230" s="16" t="inlineStr">
        <is>
          <t>longest-substring-with-at-least-k-repeating-characters</t>
        </is>
      </c>
    </row>
    <row r="231">
      <c r="C231" s="16" t="inlineStr">
        <is>
          <t>SQL</t>
        </is>
      </c>
      <c r="E231" s="16" t="inlineStr">
        <is>
          <t>Easy</t>
        </is>
      </c>
      <c r="H231" s="21">
        <f>IF(G231=TRUE,IF(H231="",TODAY(),H231),"")</f>
        <v/>
      </c>
      <c r="K231" s="16" t="inlineStr">
        <is>
          <t>SQL</t>
        </is>
      </c>
      <c r="L231" s="16" t="inlineStr">
        <is>
          <t>primary-department-for-each-employee</t>
        </is>
      </c>
    </row>
    <row r="232">
      <c r="C232" s="16" t="inlineStr">
        <is>
          <t>LeetCode</t>
        </is>
      </c>
      <c r="E232" s="16" t="inlineStr">
        <is>
          <t>Medium</t>
        </is>
      </c>
      <c r="H232" s="21">
        <f>IF(G232=TRUE,IF(H232="",TODAY(),H232),"")</f>
        <v/>
      </c>
      <c r="K232" s="16" t="inlineStr">
        <is>
          <t>Array, Hash Table</t>
        </is>
      </c>
      <c r="L232" s="16" t="inlineStr">
        <is>
          <t>contiguous-array</t>
        </is>
      </c>
    </row>
    <row r="233">
      <c r="C233" s="16" t="inlineStr">
        <is>
          <t>LeetCode</t>
        </is>
      </c>
      <c r="E233" s="16" t="inlineStr">
        <is>
          <t>Hard</t>
        </is>
      </c>
      <c r="H233" s="21">
        <f>IF(G233=TRUE,IF(H233="",TODAY(),H233),"")</f>
        <v/>
      </c>
      <c r="K233" s="16" t="inlineStr">
        <is>
          <t>Array, Hash Table</t>
        </is>
      </c>
      <c r="L233" s="16" t="inlineStr">
        <is>
          <t>minimum-number-of-operations-to-make-array-continuous</t>
        </is>
      </c>
    </row>
    <row r="234">
      <c r="C234" s="16" t="inlineStr">
        <is>
          <t>SQL</t>
        </is>
      </c>
      <c r="E234" s="16" t="inlineStr">
        <is>
          <t>Medium</t>
        </is>
      </c>
      <c r="H234" s="21">
        <f>IF(G234=TRUE,IF(H234="",TODAY(),H234),"")</f>
        <v/>
      </c>
      <c r="K234" s="16" t="inlineStr">
        <is>
          <t>SQL</t>
        </is>
      </c>
      <c r="L234" s="16" t="inlineStr">
        <is>
          <t>investments-in-2016</t>
        </is>
      </c>
    </row>
    <row r="235">
      <c r="C235" s="16" t="inlineStr">
        <is>
          <t>LeetCode</t>
        </is>
      </c>
      <c r="E235" s="16" t="inlineStr">
        <is>
          <t>Hard</t>
        </is>
      </c>
      <c r="H235" s="21">
        <f>IF(G235=TRUE,IF(H235="",TODAY(),H235),"")</f>
        <v/>
      </c>
      <c r="K235" s="16" t="inlineStr">
        <is>
          <t>Array, Stack</t>
        </is>
      </c>
      <c r="L235" s="16" t="inlineStr">
        <is>
          <t>robot-collisions</t>
        </is>
      </c>
    </row>
    <row r="236">
      <c r="C236" s="16" t="inlineStr">
        <is>
          <t>LeetCode</t>
        </is>
      </c>
      <c r="E236" s="16" t="inlineStr">
        <is>
          <t>Medium</t>
        </is>
      </c>
      <c r="H236" s="21">
        <f>IF(G236=TRUE,IF(H236="",TODAY(),H236),"")</f>
        <v/>
      </c>
      <c r="K236" s="16" t="inlineStr">
        <is>
          <t>Array, Hash Table</t>
        </is>
      </c>
      <c r="L236" s="16" t="inlineStr">
        <is>
          <t>array-of-doubled-pairs</t>
        </is>
      </c>
    </row>
    <row r="237">
      <c r="C237" s="16" t="inlineStr">
        <is>
          <t>SQL</t>
        </is>
      </c>
      <c r="E237" s="16" t="inlineStr">
        <is>
          <t>Easy</t>
        </is>
      </c>
      <c r="H237" s="21">
        <f>IF(G237=TRUE,IF(H237="",TODAY(),H237),"")</f>
        <v/>
      </c>
      <c r="K237" s="16" t="inlineStr">
        <is>
          <t>SQL</t>
        </is>
      </c>
      <c r="L237" s="16" t="inlineStr">
        <is>
          <t>employees-with-missing-information</t>
        </is>
      </c>
    </row>
    <row r="238">
      <c r="C238" s="16" t="inlineStr">
        <is>
          <t>Codeforces</t>
        </is>
      </c>
      <c r="E238" s="16" t="inlineStr">
        <is>
          <t>CF 1400</t>
        </is>
      </c>
      <c r="H238" s="21">
        <f>IF(G238=TRUE,IF(H238="",TODAY(),H238),"")</f>
        <v/>
      </c>
      <c r="K238" s="16" t="inlineStr">
        <is>
          <t>sortings</t>
        </is>
      </c>
      <c r="L238" s="16" t="inlineStr">
        <is>
          <t>https://codeforces.com/problemset?order=BY_SOLVED_DESC&amp;tags=sortings,1400-1400</t>
        </is>
      </c>
      <c r="M238" s="16" t="inlineStr">
        <is>
          <t>Most-solved unsolved: sortings · 1400</t>
        </is>
      </c>
    </row>
    <row r="239">
      <c r="C239" s="16" t="inlineStr">
        <is>
          <t>Codeforces</t>
        </is>
      </c>
      <c r="E239" s="16" t="inlineStr">
        <is>
          <t>CF 1500</t>
        </is>
      </c>
      <c r="H239" s="21">
        <f>IF(G239=TRUE,IF(H239="",TODAY(),H239),"")</f>
        <v/>
      </c>
      <c r="K239" s="16" t="inlineStr">
        <is>
          <t>strings</t>
        </is>
      </c>
      <c r="L239" s="16" t="inlineStr">
        <is>
          <t>https://codeforces.com/problemset?order=BY_SOLVED_DESC&amp;tags=strings,1500-1500</t>
        </is>
      </c>
      <c r="M239" s="16" t="inlineStr">
        <is>
          <t>Most-solved unsolved: strings · 1500</t>
        </is>
      </c>
    </row>
    <row r="240">
      <c r="C240" s="16" t="inlineStr">
        <is>
          <t>LeetCode</t>
        </is>
      </c>
      <c r="E240" s="16" t="inlineStr">
        <is>
          <t>Medium</t>
        </is>
      </c>
      <c r="H240" s="21">
        <f>IF(G240=TRUE,IF(H240="",TODAY(),H240),"")</f>
        <v/>
      </c>
      <c r="K240" s="16" t="inlineStr">
        <is>
          <t>Linked List</t>
        </is>
      </c>
      <c r="L240" s="16" t="inlineStr">
        <is>
          <t>merge-in-between-linked-lists</t>
        </is>
      </c>
    </row>
    <row r="241">
      <c r="C241" s="16" t="inlineStr">
        <is>
          <t>LeetCode</t>
        </is>
      </c>
      <c r="E241" s="16" t="inlineStr">
        <is>
          <t>Medium</t>
        </is>
      </c>
      <c r="H241" s="21">
        <f>IF(G241=TRUE,IF(H241="",TODAY(),H241),"")</f>
        <v/>
      </c>
      <c r="K241" s="16" t="inlineStr">
        <is>
          <t>Array, Depth-First Search</t>
        </is>
      </c>
      <c r="L241" s="16" t="inlineStr">
        <is>
          <t>find-all-groups-of-farmland</t>
        </is>
      </c>
    </row>
    <row r="242">
      <c r="C242" s="16" t="inlineStr">
        <is>
          <t>SQL</t>
        </is>
      </c>
      <c r="E242" s="16" t="inlineStr">
        <is>
          <t>Medium</t>
        </is>
      </c>
      <c r="H242" s="21">
        <f>IF(G242=TRUE,IF(H242="",TODAY(),H242),"")</f>
        <v/>
      </c>
      <c r="K242" s="16" t="inlineStr">
        <is>
          <t>SQL</t>
        </is>
      </c>
      <c r="L242" s="16" t="inlineStr">
        <is>
          <t>count-salary-categories</t>
        </is>
      </c>
    </row>
    <row r="243">
      <c r="C243" s="16" t="inlineStr">
        <is>
          <t>LeetCode</t>
        </is>
      </c>
      <c r="E243" s="16" t="inlineStr">
        <is>
          <t>Medium</t>
        </is>
      </c>
      <c r="H243" s="21">
        <f>IF(G243=TRUE,IF(H243="",TODAY(),H243),"")</f>
        <v/>
      </c>
      <c r="K243" s="16" t="inlineStr">
        <is>
          <t>Hash Table, String</t>
        </is>
      </c>
      <c r="L243" s="16" t="inlineStr">
        <is>
          <t>number-of-substrings-containing-all-three-characters</t>
        </is>
      </c>
    </row>
    <row r="244">
      <c r="C244" s="16" t="inlineStr">
        <is>
          <t>LeetCode</t>
        </is>
      </c>
      <c r="E244" s="16" t="inlineStr">
        <is>
          <t>Medium</t>
        </is>
      </c>
      <c r="H244" s="21">
        <f>IF(G244=TRUE,IF(H244="",TODAY(),H244),"")</f>
        <v/>
      </c>
      <c r="K244" s="16" t="inlineStr">
        <is>
          <t>Array, String</t>
        </is>
      </c>
      <c r="L244" s="16" t="inlineStr">
        <is>
          <t>minimum-number-of-operations-to-move-all-balls-to-each-box</t>
        </is>
      </c>
    </row>
    <row r="245">
      <c r="C245" s="16" t="inlineStr">
        <is>
          <t>SQL</t>
        </is>
      </c>
      <c r="E245" s="16" t="inlineStr">
        <is>
          <t>Medium</t>
        </is>
      </c>
      <c r="H245" s="21">
        <f>IF(G245=TRUE,IF(H245="",TODAY(),H245),"")</f>
        <v/>
      </c>
      <c r="K245" s="16" t="inlineStr">
        <is>
          <t>SQL</t>
        </is>
      </c>
      <c r="L245" s="16" t="inlineStr">
        <is>
          <t>tree-node</t>
        </is>
      </c>
    </row>
    <row r="246">
      <c r="C246" s="16" t="inlineStr">
        <is>
          <t>LeetCode</t>
        </is>
      </c>
      <c r="E246" s="16" t="inlineStr">
        <is>
          <t>Medium</t>
        </is>
      </c>
      <c r="H246" s="21">
        <f>IF(G246=TRUE,IF(H246="",TODAY(),H246),"")</f>
        <v/>
      </c>
      <c r="K246" s="16" t="inlineStr">
        <is>
          <t>Array, Binary Search</t>
        </is>
      </c>
      <c r="L246" s="16" t="inlineStr">
        <is>
          <t>kth-smallest-element-in-a-sorted-matrix</t>
        </is>
      </c>
    </row>
    <row r="247">
      <c r="C247" s="16" t="inlineStr">
        <is>
          <t>LeetCode</t>
        </is>
      </c>
      <c r="E247" s="16" t="inlineStr">
        <is>
          <t>Medium</t>
        </is>
      </c>
      <c r="H247" s="21">
        <f>IF(G247=TRUE,IF(H247="",TODAY(),H247),"")</f>
        <v/>
      </c>
      <c r="K247" s="16" t="inlineStr">
        <is>
          <t>Array, Binary Search</t>
        </is>
      </c>
      <c r="L247" s="16" t="inlineStr">
        <is>
          <t>maximum-length-of-repeated-subarray</t>
        </is>
      </c>
    </row>
    <row r="248">
      <c r="C248" s="16" t="inlineStr">
        <is>
          <t>SQL</t>
        </is>
      </c>
      <c r="E248" s="16" t="inlineStr">
        <is>
          <t>Easy</t>
        </is>
      </c>
      <c r="H248" s="21">
        <f>IF(G248=TRUE,IF(H248="",TODAY(),H248),"")</f>
        <v/>
      </c>
      <c r="K248" s="16" t="inlineStr">
        <is>
          <t>SQL</t>
        </is>
      </c>
      <c r="L248" s="16" t="inlineStr">
        <is>
          <t>bank-account-summary-ii</t>
        </is>
      </c>
      <c r="M248" s="16" t="inlineStr">
        <is>
          <t>Bank Account Summary II</t>
        </is>
      </c>
    </row>
    <row r="249">
      <c r="C249" s="16" t="inlineStr">
        <is>
          <t>LeetCode</t>
        </is>
      </c>
      <c r="E249" s="16" t="inlineStr">
        <is>
          <t>Hard</t>
        </is>
      </c>
      <c r="H249" s="21">
        <f>IF(G249=TRUE,IF(H249="",TODAY(),H249),"")</f>
        <v/>
      </c>
      <c r="K249" s="16" t="inlineStr">
        <is>
          <t>Array, Hash Table</t>
        </is>
      </c>
      <c r="L249" s="16" t="inlineStr">
        <is>
          <t>jump-game-iv</t>
        </is>
      </c>
      <c r="M249" s="16" t="inlineStr">
        <is>
          <t>Jump Game IV</t>
        </is>
      </c>
    </row>
    <row r="250">
      <c r="C250" s="16" t="inlineStr">
        <is>
          <t>LeetCode</t>
        </is>
      </c>
      <c r="E250" s="16" t="inlineStr">
        <is>
          <t>Medium</t>
        </is>
      </c>
      <c r="H250" s="21">
        <f>IF(G250=TRUE,IF(H250="",TODAY(),H250),"")</f>
        <v/>
      </c>
      <c r="K250" s="16" t="inlineStr">
        <is>
          <t>Bit Manipulation</t>
        </is>
      </c>
      <c r="L250" s="16" t="inlineStr">
        <is>
          <t>bitwise-and-of-numbers-range</t>
        </is>
      </c>
    </row>
    <row r="251">
      <c r="C251" s="16" t="inlineStr">
        <is>
          <t>SQL</t>
        </is>
      </c>
      <c r="E251" s="16" t="inlineStr">
        <is>
          <t>Medium</t>
        </is>
      </c>
      <c r="H251" s="21">
        <f>IF(G251=TRUE,IF(H251="",TODAY(),H251),"")</f>
        <v/>
      </c>
      <c r="K251" s="16" t="inlineStr">
        <is>
          <t>SQL</t>
        </is>
      </c>
      <c r="L251" s="16" t="inlineStr">
        <is>
          <t>dna-pattern-recognition</t>
        </is>
      </c>
    </row>
    <row r="252">
      <c r="C252" s="16" t="inlineStr">
        <is>
          <t>LeetCode</t>
        </is>
      </c>
      <c r="E252" s="16" t="inlineStr">
        <is>
          <t>Medium</t>
        </is>
      </c>
      <c r="H252" s="21">
        <f>IF(G252=TRUE,IF(H252="",TODAY(),H252),"")</f>
        <v/>
      </c>
      <c r="K252" s="16" t="inlineStr">
        <is>
          <t>Array, Hash Table</t>
        </is>
      </c>
      <c r="L252" s="16" t="inlineStr">
        <is>
          <t>replace-words</t>
        </is>
      </c>
    </row>
    <row r="253">
      <c r="C253" s="16" t="inlineStr">
        <is>
          <t>LeetCode</t>
        </is>
      </c>
      <c r="E253" s="16" t="inlineStr">
        <is>
          <t>Medium</t>
        </is>
      </c>
      <c r="H253" s="21">
        <f>IF(G253=TRUE,IF(H253="",TODAY(),H253),"")</f>
        <v/>
      </c>
      <c r="K253" s="16" t="inlineStr">
        <is>
          <t>Array, Matrix</t>
        </is>
      </c>
      <c r="L253" s="16" t="inlineStr">
        <is>
          <t>game-of-life</t>
        </is>
      </c>
    </row>
    <row r="254">
      <c r="C254" s="16" t="inlineStr">
        <is>
          <t>SQL</t>
        </is>
      </c>
      <c r="E254" s="16" t="inlineStr">
        <is>
          <t>Medium</t>
        </is>
      </c>
      <c r="H254" s="21">
        <f>IF(G254=TRUE,IF(H254="",TODAY(),H254),"")</f>
        <v/>
      </c>
      <c r="K254" s="16" t="inlineStr">
        <is>
          <t>SQL</t>
        </is>
      </c>
      <c r="L254" s="16" t="inlineStr">
        <is>
          <t>capital-gainloss</t>
        </is>
      </c>
    </row>
    <row r="255">
      <c r="C255" s="16" t="inlineStr">
        <is>
          <t>LeetCode</t>
        </is>
      </c>
      <c r="E255" s="16" t="inlineStr">
        <is>
          <t>Medium</t>
        </is>
      </c>
      <c r="H255" s="21">
        <f>IF(G255=TRUE,IF(H255="",TODAY(),H255),"")</f>
        <v/>
      </c>
      <c r="K255" s="16" t="inlineStr">
        <is>
          <t>Tree, Breadth-First Search</t>
        </is>
      </c>
      <c r="L255" s="16" t="inlineStr">
        <is>
          <t>n-ary-tree-level-order-traversal</t>
        </is>
      </c>
    </row>
    <row r="256">
      <c r="C256" s="16" t="inlineStr">
        <is>
          <t>LeetCode</t>
        </is>
      </c>
      <c r="E256" s="16" t="inlineStr">
        <is>
          <t>Medium</t>
        </is>
      </c>
      <c r="H256" s="21">
        <f>IF(G256=TRUE,IF(H256="",TODAY(),H256),"")</f>
        <v/>
      </c>
      <c r="K256" s="16" t="inlineStr">
        <is>
          <t>Hash Table, Tree</t>
        </is>
      </c>
      <c r="L256" s="16" t="inlineStr">
        <is>
          <t>smallest-subtree-with-all-the-deepest-nodes</t>
        </is>
      </c>
    </row>
    <row r="257">
      <c r="C257" s="16" t="inlineStr">
        <is>
          <t>SQL</t>
        </is>
      </c>
      <c r="E257" s="16" t="inlineStr">
        <is>
          <t>Medium</t>
        </is>
      </c>
      <c r="H257" s="21">
        <f>IF(G257=TRUE,IF(H257="",TODAY(),H257),"")</f>
        <v/>
      </c>
      <c r="K257" s="16" t="inlineStr">
        <is>
          <t>SQL</t>
        </is>
      </c>
      <c r="L257" s="16" t="inlineStr">
        <is>
          <t>find-drivers-with-improved-fuel-efficiency</t>
        </is>
      </c>
    </row>
    <row r="258">
      <c r="C258" s="16" t="inlineStr">
        <is>
          <t>LeetCode</t>
        </is>
      </c>
      <c r="E258" s="16" t="inlineStr">
        <is>
          <t>Medium</t>
        </is>
      </c>
      <c r="H258" s="21">
        <f>IF(G258=TRUE,IF(H258="",TODAY(),H258),"")</f>
        <v/>
      </c>
      <c r="K258" s="16" t="inlineStr">
        <is>
          <t>Tree, Depth-First Search</t>
        </is>
      </c>
      <c r="L258" s="16" t="inlineStr">
        <is>
          <t>count-nodes-equal-to-average-of-subtree</t>
        </is>
      </c>
    </row>
    <row r="259">
      <c r="C259" s="16" t="inlineStr">
        <is>
          <t>LeetCode</t>
        </is>
      </c>
      <c r="E259" s="16" t="inlineStr">
        <is>
          <t>Medium</t>
        </is>
      </c>
      <c r="H259" s="21">
        <f>IF(G259=TRUE,IF(H259="",TODAY(),H259),"")</f>
        <v/>
      </c>
      <c r="K259" s="16" t="inlineStr">
        <is>
          <t>Array, Bit Manipulation</t>
        </is>
      </c>
      <c r="L259" s="16" t="inlineStr">
        <is>
          <t>single-number-iii</t>
        </is>
      </c>
      <c r="M259" s="16" t="inlineStr">
        <is>
          <t>Single Number III</t>
        </is>
      </c>
    </row>
    <row r="260">
      <c r="C260" s="16" t="inlineStr">
        <is>
          <t>SQL</t>
        </is>
      </c>
      <c r="E260" s="16" t="inlineStr">
        <is>
          <t>Easy</t>
        </is>
      </c>
      <c r="H260" s="21">
        <f>IF(G260=TRUE,IF(H260="",TODAY(),H260),"")</f>
        <v/>
      </c>
      <c r="K260" s="16" t="inlineStr">
        <is>
          <t>SQL</t>
        </is>
      </c>
      <c r="L260" s="16" t="inlineStr">
        <is>
          <t>find-valid-emails</t>
        </is>
      </c>
    </row>
    <row r="261">
      <c r="C261" s="16" t="inlineStr">
        <is>
          <t>Codeforces</t>
        </is>
      </c>
      <c r="E261" s="16" t="inlineStr">
        <is>
          <t>CF 1400</t>
        </is>
      </c>
      <c r="H261" s="21">
        <f>IF(G261=TRUE,IF(H261="",TODAY(),H261),"")</f>
        <v/>
      </c>
      <c r="K261" s="16" t="inlineStr">
        <is>
          <t>dp</t>
        </is>
      </c>
      <c r="L261" s="16" t="inlineStr">
        <is>
          <t>https://codeforces.com/problemset?order=BY_SOLVED_DESC&amp;tags=dp,1400-1400</t>
        </is>
      </c>
      <c r="M261" s="16" t="inlineStr">
        <is>
          <t>Most-solved unsolved: dp · 1400</t>
        </is>
      </c>
    </row>
    <row r="262">
      <c r="C262" s="16" t="inlineStr">
        <is>
          <t>Codeforces</t>
        </is>
      </c>
      <c r="E262" s="16" t="inlineStr">
        <is>
          <t>CF 1500</t>
        </is>
      </c>
      <c r="H262" s="21">
        <f>IF(G262=TRUE,IF(H262="",TODAY(),H262),"")</f>
        <v/>
      </c>
      <c r="K262" s="16" t="inlineStr">
        <is>
          <t>graphs</t>
        </is>
      </c>
      <c r="L262" s="16" t="inlineStr">
        <is>
          <t>https://codeforces.com/problemset?order=BY_SOLVED_DESC&amp;tags=graphs,1500-1500</t>
        </is>
      </c>
      <c r="M262" s="16" t="inlineStr">
        <is>
          <t>Most-solved unsolved: graphs · 1500</t>
        </is>
      </c>
    </row>
    <row r="263">
      <c r="C263" s="16" t="inlineStr">
        <is>
          <t>LeetCode</t>
        </is>
      </c>
      <c r="E263" s="16" t="inlineStr">
        <is>
          <t>Medium</t>
        </is>
      </c>
      <c r="H263" s="21">
        <f>IF(G263=TRUE,IF(H263="",TODAY(),H263),"")</f>
        <v/>
      </c>
      <c r="K263" s="16" t="inlineStr">
        <is>
          <t>Greedy, Bit Manipulation</t>
        </is>
      </c>
      <c r="L263" s="16" t="inlineStr">
        <is>
          <t>minimize-xor</t>
        </is>
      </c>
    </row>
    <row r="264">
      <c r="C264" s="16" t="inlineStr">
        <is>
          <t>LeetCode</t>
        </is>
      </c>
      <c r="E264" s="16" t="inlineStr">
        <is>
          <t>Medium</t>
        </is>
      </c>
      <c r="H264" s="21">
        <f>IF(G264=TRUE,IF(H264="",TODAY(),H264),"")</f>
        <v/>
      </c>
      <c r="K264" s="16" t="inlineStr">
        <is>
          <t>Array, Binary Search</t>
        </is>
      </c>
      <c r="L264" s="16" t="inlineStr">
        <is>
          <t>my-calendar-i</t>
        </is>
      </c>
      <c r="M264" s="16" t="inlineStr">
        <is>
          <t>My Calendar I</t>
        </is>
      </c>
    </row>
    <row r="265">
      <c r="C265" s="16" t="inlineStr">
        <is>
          <t>SQL</t>
        </is>
      </c>
      <c r="E265" s="16" t="inlineStr">
        <is>
          <t>Easy</t>
        </is>
      </c>
      <c r="H265" s="21">
        <f>IF(G265=TRUE,IF(H265="",TODAY(),H265),"")</f>
        <v/>
      </c>
      <c r="K265" s="16" t="inlineStr">
        <is>
          <t>SQL</t>
        </is>
      </c>
      <c r="L265" s="16" t="inlineStr">
        <is>
          <t>project-employees-i</t>
        </is>
      </c>
      <c r="M265" s="16" t="inlineStr">
        <is>
          <t>Project Employees I</t>
        </is>
      </c>
    </row>
    <row r="266">
      <c r="C266" s="16" t="inlineStr">
        <is>
          <t>LeetCode</t>
        </is>
      </c>
      <c r="E266" s="16" t="inlineStr">
        <is>
          <t>Medium</t>
        </is>
      </c>
      <c r="H266" s="21">
        <f>IF(G266=TRUE,IF(H266="",TODAY(),H266),"")</f>
        <v/>
      </c>
      <c r="K266" s="16" t="inlineStr">
        <is>
          <t>Array, Hash Table</t>
        </is>
      </c>
      <c r="L266" s="16" t="inlineStr">
        <is>
          <t>distant-barcodes</t>
        </is>
      </c>
    </row>
    <row r="267">
      <c r="C267" s="16" t="inlineStr">
        <is>
          <t>LeetCode</t>
        </is>
      </c>
      <c r="E267" s="16" t="inlineStr">
        <is>
          <t>Medium</t>
        </is>
      </c>
      <c r="H267" s="21">
        <f>IF(G267=TRUE,IF(H267="",TODAY(),H267),"")</f>
        <v/>
      </c>
      <c r="K267" s="16" t="inlineStr">
        <is>
          <t>String, Stack</t>
        </is>
      </c>
      <c r="L267" s="16" t="inlineStr">
        <is>
          <t>remove-duplicate-letters</t>
        </is>
      </c>
    </row>
    <row r="268">
      <c r="C268" s="16" t="inlineStr">
        <is>
          <t>SQL</t>
        </is>
      </c>
      <c r="E268" s="16" t="inlineStr">
        <is>
          <t>Medium</t>
        </is>
      </c>
      <c r="H268" s="21">
        <f>IF(G268=TRUE,IF(H268="",TODAY(),H268),"")</f>
        <v/>
      </c>
      <c r="K268" s="16" t="inlineStr">
        <is>
          <t>SQL</t>
        </is>
      </c>
      <c r="L268" s="16" t="inlineStr">
        <is>
          <t>department-highest-salary</t>
        </is>
      </c>
    </row>
    <row r="269">
      <c r="C269" s="16" t="inlineStr">
        <is>
          <t>LeetCode</t>
        </is>
      </c>
      <c r="E269" s="16" t="inlineStr">
        <is>
          <t>Medium</t>
        </is>
      </c>
      <c r="H269" s="21">
        <f>IF(G269=TRUE,IF(H269="",TODAY(),H269),"")</f>
        <v/>
      </c>
      <c r="K269" s="16" t="inlineStr">
        <is>
          <t>Array, String</t>
        </is>
      </c>
      <c r="L269" s="16" t="inlineStr">
        <is>
          <t>satisfiability-of-equality-equations</t>
        </is>
      </c>
    </row>
    <row r="270">
      <c r="C270" s="16" t="inlineStr">
        <is>
          <t>LeetCode</t>
        </is>
      </c>
      <c r="E270" s="16" t="inlineStr">
        <is>
          <t>Medium</t>
        </is>
      </c>
      <c r="H270" s="21">
        <f>IF(G270=TRUE,IF(H270="",TODAY(),H270),"")</f>
        <v/>
      </c>
      <c r="K270" s="16" t="inlineStr">
        <is>
          <t>Array, Math</t>
        </is>
      </c>
      <c r="L270" s="16" t="inlineStr">
        <is>
          <t>minimum-operations-to-make-a-uni-value-grid</t>
        </is>
      </c>
    </row>
    <row r="271">
      <c r="C271" s="16" t="inlineStr">
        <is>
          <t>SQL</t>
        </is>
      </c>
      <c r="E271" s="16" t="inlineStr">
        <is>
          <t>Medium</t>
        </is>
      </c>
      <c r="H271" s="21">
        <f>IF(G271=TRUE,IF(H271="",TODAY(),H271),"")</f>
        <v/>
      </c>
      <c r="K271" s="16" t="inlineStr">
        <is>
          <t>SQL</t>
        </is>
      </c>
      <c r="L271" s="16" t="inlineStr">
        <is>
          <t>game-play-analysis-iv</t>
        </is>
      </c>
      <c r="M271" s="16" t="inlineStr">
        <is>
          <t>Game Play Analysis IV</t>
        </is>
      </c>
    </row>
    <row r="272">
      <c r="C272" s="16" t="inlineStr">
        <is>
          <t>LeetCode</t>
        </is>
      </c>
      <c r="E272" s="16" t="inlineStr">
        <is>
          <t>Medium</t>
        </is>
      </c>
      <c r="H272" s="21">
        <f>IF(G272=TRUE,IF(H272="",TODAY(),H272),"")</f>
        <v/>
      </c>
      <c r="K272" s="16" t="inlineStr">
        <is>
          <t>Array, Hash Table</t>
        </is>
      </c>
      <c r="L272" s="16" t="inlineStr">
        <is>
          <t>equal-sum-arrays-with-minimum-number-of-operations</t>
        </is>
      </c>
    </row>
    <row r="273">
      <c r="C273" s="16" t="inlineStr">
        <is>
          <t>LeetCode</t>
        </is>
      </c>
      <c r="E273" s="16" t="inlineStr">
        <is>
          <t>Hard</t>
        </is>
      </c>
      <c r="H273" s="21">
        <f>IF(G273=TRUE,IF(H273="",TODAY(),H273),"")</f>
        <v/>
      </c>
      <c r="K273" s="16" t="inlineStr">
        <is>
          <t>Array, Dynamic Programming</t>
        </is>
      </c>
      <c r="L273" s="16" t="inlineStr">
        <is>
          <t>best-time-to-buy-and-sell-stock-iii</t>
        </is>
      </c>
      <c r="M273" s="16" t="inlineStr">
        <is>
          <t>Best Time to Buy and Sell Stock III</t>
        </is>
      </c>
    </row>
    <row r="274">
      <c r="C274" s="16" t="inlineStr">
        <is>
          <t>SQL</t>
        </is>
      </c>
      <c r="E274" s="16" t="inlineStr">
        <is>
          <t>Easy</t>
        </is>
      </c>
      <c r="H274" s="21">
        <f>IF(G274=TRUE,IF(H274="",TODAY(),H274),"")</f>
        <v/>
      </c>
      <c r="K274" s="16" t="inlineStr">
        <is>
          <t>SQL</t>
        </is>
      </c>
      <c r="L274" s="16" t="inlineStr">
        <is>
          <t>game-play-analysis-i</t>
        </is>
      </c>
      <c r="M274" s="16" t="inlineStr">
        <is>
          <t>Game Play Analysis I</t>
        </is>
      </c>
    </row>
    <row r="275">
      <c r="C275" s="16" t="inlineStr">
        <is>
          <t>LeetCode</t>
        </is>
      </c>
      <c r="E275" s="16" t="inlineStr">
        <is>
          <t>Medium</t>
        </is>
      </c>
      <c r="H275" s="21">
        <f>IF(G275=TRUE,IF(H275="",TODAY(),H275),"")</f>
        <v/>
      </c>
      <c r="K275" s="16" t="inlineStr">
        <is>
          <t>Array, Greedy</t>
        </is>
      </c>
      <c r="L275" s="16" t="inlineStr">
        <is>
          <t>maximize-happiness-of-selected-children</t>
        </is>
      </c>
    </row>
    <row r="276">
      <c r="C276" s="16" t="inlineStr">
        <is>
          <t>LeetCode</t>
        </is>
      </c>
      <c r="E276" s="16" t="inlineStr">
        <is>
          <t>Medium</t>
        </is>
      </c>
      <c r="H276" s="21">
        <f>IF(G276=TRUE,IF(H276="",TODAY(),H276),"")</f>
        <v/>
      </c>
      <c r="K276" s="16" t="inlineStr">
        <is>
          <t>Array, Dynamic Programming</t>
        </is>
      </c>
      <c r="L276" s="16" t="inlineStr">
        <is>
          <t>count-square-submatrices-with-all-ones</t>
        </is>
      </c>
    </row>
    <row r="277">
      <c r="C277" s="16" t="inlineStr">
        <is>
          <t>SQL</t>
        </is>
      </c>
      <c r="E277" s="16" t="inlineStr">
        <is>
          <t>Medium</t>
        </is>
      </c>
      <c r="H277" s="21">
        <f>IF(G277=TRUE,IF(H277="",TODAY(),H277),"")</f>
        <v/>
      </c>
      <c r="K277" s="16" t="inlineStr">
        <is>
          <t>SQL</t>
        </is>
      </c>
      <c r="L277" s="16" t="inlineStr">
        <is>
          <t>consecutive-numbers</t>
        </is>
      </c>
    </row>
    <row r="278">
      <c r="C278" s="16" t="inlineStr">
        <is>
          <t>LeetCode</t>
        </is>
      </c>
      <c r="E278" s="16" t="inlineStr">
        <is>
          <t>Hard</t>
        </is>
      </c>
      <c r="H278" s="21">
        <f>IF(G278=TRUE,IF(H278="",TODAY(),H278),"")</f>
        <v/>
      </c>
      <c r="K278" s="16" t="inlineStr">
        <is>
          <t>Array, Queue</t>
        </is>
      </c>
      <c r="L278" s="16" t="inlineStr">
        <is>
          <t>count-subarrays-with-fixed-bounds</t>
        </is>
      </c>
    </row>
    <row r="279">
      <c r="C279" s="16" t="inlineStr">
        <is>
          <t>LeetCode</t>
        </is>
      </c>
      <c r="E279" s="16" t="inlineStr">
        <is>
          <t>Medium</t>
        </is>
      </c>
      <c r="H279" s="21">
        <f>IF(G279=TRUE,IF(H279="",TODAY(),H279),"")</f>
        <v/>
      </c>
      <c r="K279" s="16" t="inlineStr">
        <is>
          <t>Array</t>
        </is>
      </c>
      <c r="L279" s="16" t="inlineStr">
        <is>
          <t>maximize-distance-to-closest-person</t>
        </is>
      </c>
    </row>
    <row r="280">
      <c r="C280" s="16" t="inlineStr">
        <is>
          <t>SQL</t>
        </is>
      </c>
      <c r="E280" s="16" t="inlineStr">
        <is>
          <t>Medium</t>
        </is>
      </c>
      <c r="H280" s="21">
        <f>IF(G280=TRUE,IF(H280="",TODAY(),H280),"")</f>
        <v/>
      </c>
      <c r="K280" s="16" t="inlineStr">
        <is>
          <t>SQL</t>
        </is>
      </c>
      <c r="L280" s="16" t="inlineStr">
        <is>
          <t>second-highest-salary</t>
        </is>
      </c>
    </row>
    <row r="281">
      <c r="C281" s="16" t="inlineStr">
        <is>
          <t>LeetCode</t>
        </is>
      </c>
      <c r="E281" s="16" t="inlineStr">
        <is>
          <t>Medium</t>
        </is>
      </c>
      <c r="H281" s="21">
        <f>IF(G281=TRUE,IF(H281="",TODAY(),H281),"")</f>
        <v/>
      </c>
      <c r="K281" s="16" t="inlineStr">
        <is>
          <t>Array, Hash Table</t>
        </is>
      </c>
      <c r="L281" s="16" t="inlineStr">
        <is>
          <t>subarray-sums-divisible-by-k</t>
        </is>
      </c>
    </row>
    <row r="282">
      <c r="C282" s="16" t="inlineStr">
        <is>
          <t>LeetCode</t>
        </is>
      </c>
      <c r="E282" s="16" t="inlineStr">
        <is>
          <t>Medium</t>
        </is>
      </c>
      <c r="H282" s="21">
        <f>IF(G282=TRUE,IF(H282="",TODAY(),H282),"")</f>
        <v/>
      </c>
      <c r="K282" s="16" t="inlineStr">
        <is>
          <t>Array, Hash Table</t>
        </is>
      </c>
      <c r="L282" s="16" t="inlineStr">
        <is>
          <t>find-and-replace-pattern</t>
        </is>
      </c>
    </row>
    <row r="283">
      <c r="C283" s="16" t="inlineStr">
        <is>
          <t>SQL</t>
        </is>
      </c>
      <c r="E283" s="16" t="inlineStr">
        <is>
          <t>Easy</t>
        </is>
      </c>
      <c r="H283" s="21">
        <f>IF(G283=TRUE,IF(H283="",TODAY(),H283),"")</f>
        <v/>
      </c>
      <c r="K283" s="16" t="inlineStr">
        <is>
          <t>SQL</t>
        </is>
      </c>
      <c r="L283" s="16" t="inlineStr">
        <is>
          <t>find-followers-count</t>
        </is>
      </c>
    </row>
    <row r="284">
      <c r="C284" s="16" t="inlineStr">
        <is>
          <t>Codeforces</t>
        </is>
      </c>
      <c r="E284" s="16" t="inlineStr">
        <is>
          <t>CF 1400</t>
        </is>
      </c>
      <c r="H284" s="21">
        <f>IF(G284=TRUE,IF(H284="",TODAY(),H284),"")</f>
        <v/>
      </c>
      <c r="K284" s="16" t="inlineStr">
        <is>
          <t>number theory</t>
        </is>
      </c>
      <c r="L284" s="16" t="inlineStr">
        <is>
          <t>https://codeforces.com/problemset?order=BY_SOLVED_DESC&amp;tags=number%20theory,1400-1400</t>
        </is>
      </c>
      <c r="M284" s="16" t="inlineStr">
        <is>
          <t>Most-solved unsolved: number theory · 1400</t>
        </is>
      </c>
    </row>
    <row r="285">
      <c r="C285" s="16" t="inlineStr">
        <is>
          <t>Codeforces</t>
        </is>
      </c>
      <c r="E285" s="16" t="inlineStr">
        <is>
          <t>CF 1500</t>
        </is>
      </c>
      <c r="H285" s="21">
        <f>IF(G285=TRUE,IF(H285="",TODAY(),H285),"")</f>
        <v/>
      </c>
      <c r="K285" s="16" t="inlineStr">
        <is>
          <t>bitmasks</t>
        </is>
      </c>
      <c r="L285" s="16" t="inlineStr">
        <is>
          <t>https://codeforces.com/problemset?order=BY_SOLVED_DESC&amp;tags=bitmasks,1500-1500</t>
        </is>
      </c>
      <c r="M285" s="16" t="inlineStr">
        <is>
          <t>Most-solved unsolved: bitmasks · 1500</t>
        </is>
      </c>
    </row>
    <row r="286">
      <c r="C286" s="16" t="inlineStr">
        <is>
          <t>LeetCode</t>
        </is>
      </c>
      <c r="E286" s="16" t="inlineStr">
        <is>
          <t>Hard</t>
        </is>
      </c>
      <c r="H286" s="21">
        <f>IF(G286=TRUE,IF(H286="",TODAY(),H286),"")</f>
        <v/>
      </c>
      <c r="K286" s="16" t="inlineStr">
        <is>
          <t>Array, Math</t>
        </is>
      </c>
      <c r="L286" s="16" t="inlineStr">
        <is>
          <t>apply-operations-to-maximize-score</t>
        </is>
      </c>
    </row>
    <row r="287">
      <c r="C287" s="16" t="inlineStr">
        <is>
          <t>LeetCode</t>
        </is>
      </c>
      <c r="E287" s="16" t="inlineStr">
        <is>
          <t>Medium</t>
        </is>
      </c>
      <c r="H287" s="21">
        <f>IF(G287=TRUE,IF(H287="",TODAY(),H287),"")</f>
        <v/>
      </c>
      <c r="K287" s="16" t="inlineStr">
        <is>
          <t>Tree, Depth-First Search</t>
        </is>
      </c>
      <c r="L287" s="16" t="inlineStr">
        <is>
          <t>all-elements-in-two-binary-search-trees</t>
        </is>
      </c>
    </row>
    <row r="288">
      <c r="C288" s="16" t="inlineStr">
        <is>
          <t>SQL</t>
        </is>
      </c>
      <c r="E288" s="16" t="inlineStr">
        <is>
          <t>Medium</t>
        </is>
      </c>
      <c r="H288" s="21">
        <f>IF(G288=TRUE,IF(H288="",TODAY(),H288),"")</f>
        <v/>
      </c>
      <c r="K288" s="16" t="inlineStr">
        <is>
          <t>SQL</t>
        </is>
      </c>
      <c r="L288" s="16" t="inlineStr">
        <is>
          <t>monthly-transactions-i</t>
        </is>
      </c>
      <c r="M288" s="16" t="inlineStr">
        <is>
          <t>Monthly Transactions I</t>
        </is>
      </c>
    </row>
    <row r="289">
      <c r="C289" s="16" t="inlineStr">
        <is>
          <t>LeetCode</t>
        </is>
      </c>
      <c r="E289" s="16" t="inlineStr">
        <is>
          <t>Medium</t>
        </is>
      </c>
      <c r="H289" s="21">
        <f>IF(G289=TRUE,IF(H289="",TODAY(),H289),"")</f>
        <v/>
      </c>
      <c r="K289" s="16" t="inlineStr">
        <is>
          <t>Depth-First Search, Breadth-First Search</t>
        </is>
      </c>
      <c r="L289" s="16" t="inlineStr">
        <is>
          <t>keys-and-rooms</t>
        </is>
      </c>
    </row>
    <row r="290">
      <c r="C290" s="16" t="inlineStr">
        <is>
          <t>LeetCode</t>
        </is>
      </c>
      <c r="E290" s="16" t="inlineStr">
        <is>
          <t>Medium</t>
        </is>
      </c>
      <c r="H290" s="21">
        <f>IF(G290=TRUE,IF(H290="",TODAY(),H290),"")</f>
        <v/>
      </c>
      <c r="K290" s="16" t="inlineStr">
        <is>
          <t>Array, Hash Table</t>
        </is>
      </c>
      <c r="L290" s="16" t="inlineStr">
        <is>
          <t>top-k-frequent-words</t>
        </is>
      </c>
    </row>
    <row r="291">
      <c r="C291" s="16" t="inlineStr">
        <is>
          <t>SQL</t>
        </is>
      </c>
      <c r="E291" s="16" t="inlineStr">
        <is>
          <t>Easy</t>
        </is>
      </c>
      <c r="H291" s="21">
        <f>IF(G291=TRUE,IF(H291="",TODAY(),H291),"")</f>
        <v/>
      </c>
      <c r="K291" s="16" t="inlineStr">
        <is>
          <t>SQL</t>
        </is>
      </c>
      <c r="L291" s="16" t="inlineStr">
        <is>
          <t>number-of-unique-subjects-taught-by-each-teacher</t>
        </is>
      </c>
    </row>
    <row r="292">
      <c r="C292" s="16" t="inlineStr">
        <is>
          <t>LeetCode</t>
        </is>
      </c>
      <c r="E292" s="16" t="inlineStr">
        <is>
          <t>Hard</t>
        </is>
      </c>
      <c r="H292" s="21">
        <f>IF(G292=TRUE,IF(H292="",TODAY(),H292),"")</f>
        <v/>
      </c>
      <c r="K292" s="16" t="inlineStr">
        <is>
          <t>Array, Hash Table</t>
        </is>
      </c>
      <c r="L292" s="16" t="inlineStr">
        <is>
          <t>number-of-flowers-in-full-bloom</t>
        </is>
      </c>
    </row>
    <row r="293">
      <c r="C293" s="16" t="inlineStr">
        <is>
          <t>LeetCode</t>
        </is>
      </c>
      <c r="E293" s="16" t="inlineStr">
        <is>
          <t>Medium</t>
        </is>
      </c>
      <c r="H293" s="21">
        <f>IF(G293=TRUE,IF(H293="",TODAY(),H293),"")</f>
        <v/>
      </c>
      <c r="K293" s="16" t="inlineStr">
        <is>
          <t>Depth-First Search, Breadth-First Search</t>
        </is>
      </c>
      <c r="L293" s="16" t="inlineStr">
        <is>
          <t>number-of-provinces</t>
        </is>
      </c>
    </row>
    <row r="294">
      <c r="C294" s="16" t="inlineStr">
        <is>
          <t>SQL</t>
        </is>
      </c>
      <c r="E294" s="16" t="inlineStr">
        <is>
          <t>Medium</t>
        </is>
      </c>
      <c r="H294" s="21">
        <f>IF(G294=TRUE,IF(H294="",TODAY(),H294),"")</f>
        <v/>
      </c>
      <c r="K294" s="16" t="inlineStr">
        <is>
          <t>SQL</t>
        </is>
      </c>
      <c r="L294" s="16" t="inlineStr">
        <is>
          <t>movie-rating</t>
        </is>
      </c>
    </row>
    <row r="295">
      <c r="C295" s="16" t="inlineStr">
        <is>
          <t>LeetCode</t>
        </is>
      </c>
      <c r="E295" s="16" t="inlineStr">
        <is>
          <t>Medium</t>
        </is>
      </c>
      <c r="H295" s="21">
        <f>IF(G295=TRUE,IF(H295="",TODAY(),H295),"")</f>
        <v/>
      </c>
      <c r="K295" s="16" t="inlineStr">
        <is>
          <t>Array, Hash Table</t>
        </is>
      </c>
      <c r="L295" s="16" t="inlineStr">
        <is>
          <t>maximum-xor-of-two-numbers-in-an-array</t>
        </is>
      </c>
    </row>
    <row r="296">
      <c r="C296" s="16" t="inlineStr">
        <is>
          <t>LeetCode</t>
        </is>
      </c>
      <c r="E296" s="16" t="inlineStr">
        <is>
          <t>Hard</t>
        </is>
      </c>
      <c r="H296" s="21">
        <f>IF(G296=TRUE,IF(H296="",TODAY(),H296),"")</f>
        <v/>
      </c>
      <c r="K296" s="16" t="inlineStr">
        <is>
          <t>Array, Dynamic Programming</t>
        </is>
      </c>
      <c r="L296" s="16" t="inlineStr">
        <is>
          <t>minimum-number-of-refueling-stops</t>
        </is>
      </c>
    </row>
    <row r="297">
      <c r="C297" s="16" t="inlineStr">
        <is>
          <t>SQL</t>
        </is>
      </c>
      <c r="E297" s="16" t="inlineStr">
        <is>
          <t>Medium</t>
        </is>
      </c>
      <c r="H297" s="21">
        <f>IF(G297=TRUE,IF(H297="",TODAY(),H297),"")</f>
        <v/>
      </c>
      <c r="K297" s="16" t="inlineStr">
        <is>
          <t>SQL</t>
        </is>
      </c>
      <c r="L297" s="16" t="inlineStr">
        <is>
          <t>managers-with-at-least-5-direct-reports</t>
        </is>
      </c>
    </row>
    <row r="298">
      <c r="C298" s="16" t="inlineStr">
        <is>
          <t>LeetCode</t>
        </is>
      </c>
      <c r="E298" s="16" t="inlineStr">
        <is>
          <t>Hard</t>
        </is>
      </c>
      <c r="H298" s="21">
        <f>IF(G298=TRUE,IF(H298="",TODAY(),H298),"")</f>
        <v/>
      </c>
      <c r="K298" s="16" t="inlineStr">
        <is>
          <t>Array, Divide and Conquer</t>
        </is>
      </c>
      <c r="L298" s="16" t="inlineStr">
        <is>
          <t>the-skyline-problem</t>
        </is>
      </c>
    </row>
    <row r="299">
      <c r="C299" s="16" t="inlineStr">
        <is>
          <t>LeetCode</t>
        </is>
      </c>
      <c r="E299" s="16" t="inlineStr">
        <is>
          <t>Medium</t>
        </is>
      </c>
      <c r="H299" s="21">
        <f>IF(G299=TRUE,IF(H299="",TODAY(),H299),"")</f>
        <v/>
      </c>
      <c r="K299" s="16" t="inlineStr">
        <is>
          <t>Array, Binary Search</t>
        </is>
      </c>
      <c r="L299" s="16" t="inlineStr">
        <is>
          <t>my-calendar-ii</t>
        </is>
      </c>
      <c r="M299" s="16" t="inlineStr">
        <is>
          <t>My Calendar II</t>
        </is>
      </c>
    </row>
    <row r="300">
      <c r="C300" s="16" t="inlineStr">
        <is>
          <t>SQL</t>
        </is>
      </c>
      <c r="E300" s="16" t="inlineStr">
        <is>
          <t>Easy</t>
        </is>
      </c>
      <c r="H300" s="21">
        <f>IF(G300=TRUE,IF(H300="",TODAY(),H300),"")</f>
        <v/>
      </c>
      <c r="K300" s="16" t="inlineStr">
        <is>
          <t>SQL</t>
        </is>
      </c>
      <c r="L300" s="16" t="inlineStr">
        <is>
          <t>sales-person</t>
        </is>
      </c>
    </row>
    <row r="301">
      <c r="C301" s="16" t="inlineStr">
        <is>
          <t>LeetCode</t>
        </is>
      </c>
      <c r="E301" s="16" t="inlineStr">
        <is>
          <t>Hard</t>
        </is>
      </c>
      <c r="H301" s="21">
        <f>IF(G301=TRUE,IF(H301="",TODAY(),H301),"")</f>
        <v/>
      </c>
      <c r="K301" s="16" t="inlineStr">
        <is>
          <t>Array, Binary Search</t>
        </is>
      </c>
      <c r="L301" s="16" t="inlineStr">
        <is>
          <t>reverse-pairs</t>
        </is>
      </c>
    </row>
    <row r="302">
      <c r="C302" s="16" t="inlineStr">
        <is>
          <t>LeetCode</t>
        </is>
      </c>
      <c r="E302" s="16" t="inlineStr">
        <is>
          <t>Medium</t>
        </is>
      </c>
      <c r="H302" s="21">
        <f>IF(G302=TRUE,IF(H302="",TODAY(),H302),"")</f>
        <v/>
      </c>
      <c r="K302" s="16" t="inlineStr">
        <is>
          <t>Array, Sorting</t>
        </is>
      </c>
      <c r="L302" s="16" t="inlineStr">
        <is>
          <t>sort-the-jumbled-numbers</t>
        </is>
      </c>
    </row>
    <row r="303">
      <c r="C303" s="16" t="inlineStr">
        <is>
          <t>SQL</t>
        </is>
      </c>
      <c r="E303" s="16" t="inlineStr">
        <is>
          <t>Easy</t>
        </is>
      </c>
      <c r="H303" s="21">
        <f>IF(G303=TRUE,IF(H303="",TODAY(),H303),"")</f>
        <v/>
      </c>
      <c r="K303" s="16" t="inlineStr">
        <is>
          <t>SQL</t>
        </is>
      </c>
      <c r="L303" s="16" t="inlineStr">
        <is>
          <t>fix-names-in-a-table</t>
        </is>
      </c>
    </row>
    <row r="304">
      <c r="C304" s="16" t="inlineStr">
        <is>
          <t>LeetCode</t>
        </is>
      </c>
      <c r="E304" s="16" t="inlineStr">
        <is>
          <t>Medium</t>
        </is>
      </c>
      <c r="H304" s="21">
        <f>IF(G304=TRUE,IF(H304="",TODAY(),H304),"")</f>
        <v/>
      </c>
      <c r="K304" s="16" t="inlineStr">
        <is>
          <t>Array, Two Pointers</t>
        </is>
      </c>
      <c r="L304" s="16" t="inlineStr">
        <is>
          <t>maximum-width-ramp</t>
        </is>
      </c>
    </row>
    <row r="305">
      <c r="C305" s="16" t="inlineStr">
        <is>
          <t>LeetCode</t>
        </is>
      </c>
      <c r="E305" s="16" t="inlineStr">
        <is>
          <t>Medium</t>
        </is>
      </c>
      <c r="H305" s="21">
        <f>IF(G305=TRUE,IF(H305="",TODAY(),H305),"")</f>
        <v/>
      </c>
      <c r="K305" s="16" t="inlineStr">
        <is>
          <t>Tree, Breadth-First Search</t>
        </is>
      </c>
      <c r="L305" s="16" t="inlineStr">
        <is>
          <t>even-odd-tree</t>
        </is>
      </c>
    </row>
    <row r="306">
      <c r="C306" s="16" t="inlineStr">
        <is>
          <t>SQL</t>
        </is>
      </c>
      <c r="E306" s="16" t="inlineStr">
        <is>
          <t>Medium</t>
        </is>
      </c>
      <c r="H306" s="21">
        <f>IF(G306=TRUE,IF(H306="",TODAY(),H306),"")</f>
        <v/>
      </c>
      <c r="K306" s="16" t="inlineStr">
        <is>
          <t>SQL</t>
        </is>
      </c>
      <c r="L306" s="16" t="inlineStr">
        <is>
          <t>find-product-recommendation-pairs</t>
        </is>
      </c>
    </row>
    <row r="307">
      <c r="C307" s="16" t="inlineStr">
        <is>
          <t>Codeforces</t>
        </is>
      </c>
      <c r="E307" s="16" t="inlineStr">
        <is>
          <t>CF 1400</t>
        </is>
      </c>
      <c r="H307" s="21">
        <f>IF(G307=TRUE,IF(H307="",TODAY(),H307),"")</f>
        <v/>
      </c>
      <c r="K307" s="16" t="inlineStr">
        <is>
          <t>brute force</t>
        </is>
      </c>
      <c r="L307" s="16" t="inlineStr">
        <is>
          <t>https://codeforces.com/problemset?order=BY_SOLVED_DESC&amp;tags=brute%20force,1400-1400</t>
        </is>
      </c>
      <c r="M307" s="16" t="inlineStr">
        <is>
          <t>Most-solved unsolved: brute force · 1400</t>
        </is>
      </c>
    </row>
    <row r="308">
      <c r="C308" s="16" t="inlineStr">
        <is>
          <t>Codeforces</t>
        </is>
      </c>
      <c r="E308" s="16" t="inlineStr">
        <is>
          <t>CF 1500</t>
        </is>
      </c>
      <c r="H308" s="21">
        <f>IF(G308=TRUE,IF(H308="",TODAY(),H308),"")</f>
        <v/>
      </c>
      <c r="K308" s="16" t="inlineStr">
        <is>
          <t>data structures</t>
        </is>
      </c>
      <c r="L308" s="16" t="inlineStr">
        <is>
          <t>https://codeforces.com/problemset?order=BY_SOLVED_DESC&amp;tags=data%20structures,1500-1500</t>
        </is>
      </c>
      <c r="M308" s="16" t="inlineStr">
        <is>
          <t>Most-solved unsolved: data structures · 1500</t>
        </is>
      </c>
    </row>
    <row r="309">
      <c r="C309" s="16" t="inlineStr">
        <is>
          <t>LeetCode</t>
        </is>
      </c>
      <c r="E309" s="16" t="inlineStr">
        <is>
          <t>Hard</t>
        </is>
      </c>
      <c r="H309" s="21">
        <f>IF(G309=TRUE,IF(H309="",TODAY(),H309),"")</f>
        <v/>
      </c>
      <c r="K309" s="16" t="inlineStr">
        <is>
          <t>Array, Hash Table</t>
        </is>
      </c>
      <c r="L309" s="16" t="inlineStr">
        <is>
          <t>subarrays-with-k-different-integers</t>
        </is>
      </c>
    </row>
    <row r="310">
      <c r="C310" s="16" t="inlineStr">
        <is>
          <t>LeetCode</t>
        </is>
      </c>
      <c r="E310" s="16" t="inlineStr">
        <is>
          <t>Medium</t>
        </is>
      </c>
      <c r="H310" s="21">
        <f>IF(G310=TRUE,IF(H310="",TODAY(),H310),"")</f>
        <v/>
      </c>
      <c r="K310" s="16" t="inlineStr">
        <is>
          <t>Array, Sorting</t>
        </is>
      </c>
      <c r="L310" s="16" t="inlineStr">
        <is>
          <t>diagonal-traverse-ii</t>
        </is>
      </c>
      <c r="M310" s="16" t="inlineStr">
        <is>
          <t>Diagonal Traverse II</t>
        </is>
      </c>
    </row>
    <row r="311">
      <c r="C311" s="16" t="inlineStr">
        <is>
          <t>SQL</t>
        </is>
      </c>
      <c r="E311" s="16" t="inlineStr">
        <is>
          <t>Easy</t>
        </is>
      </c>
      <c r="H311" s="21">
        <f>IF(G311=TRUE,IF(H311="",TODAY(),H311),"")</f>
        <v/>
      </c>
      <c r="K311" s="16" t="inlineStr">
        <is>
          <t>SQL</t>
        </is>
      </c>
      <c r="L311" s="16" t="inlineStr">
        <is>
          <t>the-number-of-employees-which-report-to-each-employee</t>
        </is>
      </c>
    </row>
    <row r="312">
      <c r="C312" s="16" t="inlineStr">
        <is>
          <t>LeetCode</t>
        </is>
      </c>
      <c r="E312" s="16" t="inlineStr">
        <is>
          <t>Medium</t>
        </is>
      </c>
      <c r="H312" s="21">
        <f>IF(G312=TRUE,IF(H312="",TODAY(),H312),"")</f>
        <v/>
      </c>
      <c r="K312" s="16" t="inlineStr">
        <is>
          <t>Linked List, Stack</t>
        </is>
      </c>
      <c r="L312" s="16" t="inlineStr">
        <is>
          <t>flatten-binary-tree-to-linked-list</t>
        </is>
      </c>
    </row>
    <row r="313">
      <c r="C313" s="16" t="inlineStr">
        <is>
          <t>LeetCode</t>
        </is>
      </c>
      <c r="E313" s="16" t="inlineStr">
        <is>
          <t>Medium</t>
        </is>
      </c>
      <c r="H313" s="21">
        <f>IF(G313=TRUE,IF(H313="",TODAY(),H313),"")</f>
        <v/>
      </c>
      <c r="K313" s="16" t="inlineStr">
        <is>
          <t>Array, Hash Table</t>
        </is>
      </c>
      <c r="L313" s="16" t="inlineStr">
        <is>
          <t>count-number-of-bad-pairs</t>
        </is>
      </c>
    </row>
    <row r="314">
      <c r="C314" s="16" t="inlineStr">
        <is>
          <t>SQL</t>
        </is>
      </c>
      <c r="E314" s="16" t="inlineStr">
        <is>
          <t>Hard</t>
        </is>
      </c>
      <c r="H314" s="21">
        <f>IF(G314=TRUE,IF(H314="",TODAY(),H314),"")</f>
        <v/>
      </c>
      <c r="K314" s="16" t="inlineStr">
        <is>
          <t>SQL</t>
        </is>
      </c>
      <c r="L314" s="16" t="inlineStr">
        <is>
          <t>most-common-course-pairs</t>
        </is>
      </c>
    </row>
    <row r="315">
      <c r="C315" s="16" t="inlineStr">
        <is>
          <t>LeetCode</t>
        </is>
      </c>
      <c r="E315" s="16" t="inlineStr">
        <is>
          <t>Medium</t>
        </is>
      </c>
      <c r="H315" s="21">
        <f>IF(G315=TRUE,IF(H315="",TODAY(),H315),"")</f>
        <v/>
      </c>
      <c r="K315" s="16" t="inlineStr">
        <is>
          <t>Array, Greedy</t>
        </is>
      </c>
      <c r="L315" s="16" t="inlineStr">
        <is>
          <t>minimum-number-of-arrows-to-burst-balloons</t>
        </is>
      </c>
    </row>
    <row r="316">
      <c r="C316" s="16" t="inlineStr">
        <is>
          <t>LeetCode</t>
        </is>
      </c>
      <c r="E316" s="16" t="inlineStr">
        <is>
          <t>Medium</t>
        </is>
      </c>
      <c r="H316" s="21">
        <f>IF(G316=TRUE,IF(H316="",TODAY(),H316),"")</f>
        <v/>
      </c>
      <c r="K316" s="16" t="inlineStr">
        <is>
          <t>Array, Stack</t>
        </is>
      </c>
      <c r="L316" s="16" t="inlineStr">
        <is>
          <t>next-greater-element-ii</t>
        </is>
      </c>
      <c r="M316" s="16" t="inlineStr">
        <is>
          <t>Next Greater Element II</t>
        </is>
      </c>
    </row>
    <row r="317">
      <c r="C317" s="16" t="inlineStr">
        <is>
          <t>SQL</t>
        </is>
      </c>
      <c r="E317" s="16" t="inlineStr">
        <is>
          <t>Hard</t>
        </is>
      </c>
      <c r="H317" s="21">
        <f>IF(G317=TRUE,IF(H317="",TODAY(),H317),"")</f>
        <v/>
      </c>
      <c r="K317" s="16" t="inlineStr">
        <is>
          <t>SQL</t>
        </is>
      </c>
      <c r="L317" s="16" t="inlineStr">
        <is>
          <t>analyze-organization-hierarchy</t>
        </is>
      </c>
    </row>
    <row r="318">
      <c r="C318" s="16" t="inlineStr">
        <is>
          <t>LeetCode</t>
        </is>
      </c>
      <c r="E318" s="16" t="inlineStr">
        <is>
          <t>Medium</t>
        </is>
      </c>
      <c r="H318" s="21">
        <f>IF(G318=TRUE,IF(H318="",TODAY(),H318),"")</f>
        <v/>
      </c>
      <c r="K318" s="16" t="inlineStr">
        <is>
          <t>Tree, Depth-First Search</t>
        </is>
      </c>
      <c r="L318" s="16" t="inlineStr">
        <is>
          <t>sum-of-nodes-with-even-valued-grandparent</t>
        </is>
      </c>
    </row>
    <row r="319">
      <c r="C319" s="16" t="inlineStr">
        <is>
          <t>LeetCode</t>
        </is>
      </c>
      <c r="E319" s="16" t="inlineStr">
        <is>
          <t>Hard</t>
        </is>
      </c>
      <c r="H319" s="21">
        <f>IF(G319=TRUE,IF(H319="",TODAY(),H319),"")</f>
        <v/>
      </c>
      <c r="K319" s="16" t="inlineStr">
        <is>
          <t>Depth-First Search, Breadth-First Search</t>
        </is>
      </c>
      <c r="L319" s="16" t="inlineStr">
        <is>
          <t>redundant-connection-ii</t>
        </is>
      </c>
      <c r="M319" s="16" t="inlineStr">
        <is>
          <t>Redundant Connection II</t>
        </is>
      </c>
    </row>
    <row r="320">
      <c r="C320" s="16" t="inlineStr">
        <is>
          <t>SQL</t>
        </is>
      </c>
      <c r="E320" s="16" t="inlineStr">
        <is>
          <t>Hard</t>
        </is>
      </c>
      <c r="H320" s="21">
        <f>IF(G320=TRUE,IF(H320="",TODAY(),H320),"")</f>
        <v/>
      </c>
      <c r="K320" s="16" t="inlineStr">
        <is>
          <t>SQL</t>
        </is>
      </c>
      <c r="L320" s="16" t="inlineStr">
        <is>
          <t>trips-and-users</t>
        </is>
      </c>
    </row>
    <row r="321">
      <c r="C321" s="16" t="inlineStr">
        <is>
          <t>LeetCode</t>
        </is>
      </c>
      <c r="E321" s="16" t="inlineStr">
        <is>
          <t>Hard</t>
        </is>
      </c>
      <c r="H321" s="21">
        <f>IF(G321=TRUE,IF(H321="",TODAY(),H321),"")</f>
        <v/>
      </c>
      <c r="K321" s="16" t="inlineStr">
        <is>
          <t>Depth-First Search, Breadth-First Search</t>
        </is>
      </c>
      <c r="L321" s="16" t="inlineStr">
        <is>
          <t>find-all-people-with-secret</t>
        </is>
      </c>
    </row>
    <row r="322">
      <c r="C322" s="16" t="inlineStr">
        <is>
          <t>LeetCode</t>
        </is>
      </c>
      <c r="E322" s="16" t="inlineStr">
        <is>
          <t>Medium</t>
        </is>
      </c>
      <c r="H322" s="21">
        <f>IF(G322=TRUE,IF(H322="",TODAY(),H322),"")</f>
        <v/>
      </c>
      <c r="K322" s="16" t="inlineStr">
        <is>
          <t>Hash Table, String</t>
        </is>
      </c>
      <c r="L322" s="16" t="inlineStr">
        <is>
          <t>construct-k-palindrome-strings</t>
        </is>
      </c>
    </row>
    <row r="323">
      <c r="C323" s="16" t="inlineStr">
        <is>
          <t>SQL</t>
        </is>
      </c>
      <c r="E323" s="16" t="inlineStr">
        <is>
          <t>Hard</t>
        </is>
      </c>
      <c r="H323" s="21">
        <f>IF(G323=TRUE,IF(H323="",TODAY(),H323),"")</f>
        <v/>
      </c>
      <c r="K323" s="16" t="inlineStr">
        <is>
          <t>SQL</t>
        </is>
      </c>
      <c r="L323" s="16" t="inlineStr">
        <is>
          <t>find-zombie-sessions</t>
        </is>
      </c>
    </row>
    <row r="324">
      <c r="C324" s="16" t="inlineStr">
        <is>
          <t>LeetCode</t>
        </is>
      </c>
      <c r="E324" s="16" t="inlineStr">
        <is>
          <t>Medium</t>
        </is>
      </c>
      <c r="H324" s="21">
        <f>IF(G324=TRUE,IF(H324="",TODAY(),H324),"")</f>
        <v/>
      </c>
      <c r="K324" s="16" t="inlineStr">
        <is>
          <t>Array, Hash Table</t>
        </is>
      </c>
      <c r="L324" s="16" t="inlineStr">
        <is>
          <t>find-all-lonely-numbers-in-the-array</t>
        </is>
      </c>
    </row>
    <row r="325">
      <c r="C325" s="16" t="inlineStr">
        <is>
          <t>LeetCode</t>
        </is>
      </c>
      <c r="E325" s="16" t="inlineStr">
        <is>
          <t>Medium</t>
        </is>
      </c>
      <c r="H325" s="21">
        <f>IF(G325=TRUE,IF(H325="",TODAY(),H325),"")</f>
        <v/>
      </c>
      <c r="K325" s="16" t="inlineStr">
        <is>
          <t>String, Sorting</t>
        </is>
      </c>
      <c r="L325" s="16" t="inlineStr">
        <is>
          <t>sort-vowels-in-a-string</t>
        </is>
      </c>
    </row>
    <row r="326">
      <c r="C326" s="16" t="inlineStr">
        <is>
          <t>SQL</t>
        </is>
      </c>
      <c r="E326" s="16" t="inlineStr">
        <is>
          <t>Hard</t>
        </is>
      </c>
      <c r="H326" s="21">
        <f>IF(G326=TRUE,IF(H326="",TODAY(),H326),"")</f>
        <v/>
      </c>
      <c r="K326" s="16" t="inlineStr">
        <is>
          <t>SQL</t>
        </is>
      </c>
      <c r="L326" s="16" t="inlineStr">
        <is>
          <t>find-category-recommendation-pairs</t>
        </is>
      </c>
    </row>
    <row r="327">
      <c r="C327" s="16" t="inlineStr">
        <is>
          <t>LeetCode</t>
        </is>
      </c>
      <c r="E327" s="16" t="inlineStr">
        <is>
          <t>Medium</t>
        </is>
      </c>
      <c r="H327" s="21">
        <f>IF(G327=TRUE,IF(H327="",TODAY(),H327),"")</f>
        <v/>
      </c>
      <c r="K327" s="16" t="inlineStr">
        <is>
          <t>Array, Hash Table</t>
        </is>
      </c>
      <c r="L327" s="16" t="inlineStr">
        <is>
          <t>maximum-erasure-value</t>
        </is>
      </c>
    </row>
    <row r="328">
      <c r="C328" s="16" t="inlineStr">
        <is>
          <t>LeetCode</t>
        </is>
      </c>
      <c r="E328" s="16" t="inlineStr">
        <is>
          <t>Medium</t>
        </is>
      </c>
      <c r="H328" s="21">
        <f>IF(G328=TRUE,IF(H328="",TODAY(),H328),"")</f>
        <v/>
      </c>
      <c r="K328" s="16" t="inlineStr">
        <is>
          <t>Linked List, Math</t>
        </is>
      </c>
      <c r="L328" s="16" t="inlineStr">
        <is>
          <t>add-two-numbers-ii</t>
        </is>
      </c>
      <c r="M328" s="16" t="inlineStr">
        <is>
          <t>Add Two Numbers II</t>
        </is>
      </c>
    </row>
    <row r="329">
      <c r="C329" s="16" t="inlineStr">
        <is>
          <t>SQL</t>
        </is>
      </c>
      <c r="E329" s="16" t="inlineStr">
        <is>
          <t>Hard</t>
        </is>
      </c>
      <c r="H329" s="21">
        <f>IF(G329=TRUE,IF(H329="",TODAY(),H329),"")</f>
        <v/>
      </c>
      <c r="K329" s="16" t="inlineStr">
        <is>
          <t>SQL</t>
        </is>
      </c>
      <c r="L329" s="16" t="inlineStr">
        <is>
          <t>find-users-with-persistent-behavior-patterns</t>
        </is>
      </c>
    </row>
    <row r="330">
      <c r="C330" s="16" t="inlineStr">
        <is>
          <t>Codeforces</t>
        </is>
      </c>
      <c r="E330" s="16" t="inlineStr">
        <is>
          <t>CF 1400</t>
        </is>
      </c>
      <c r="H330" s="21">
        <f>IF(G330=TRUE,IF(H330="",TODAY(),H330),"")</f>
        <v/>
      </c>
      <c r="K330" s="16" t="inlineStr">
        <is>
          <t>greedy</t>
        </is>
      </c>
      <c r="L330" s="16" t="inlineStr">
        <is>
          <t>https://codeforces.com/problemset?order=BY_SOLVED_DESC&amp;tags=greedy,1400-1400</t>
        </is>
      </c>
      <c r="M330" s="16" t="inlineStr">
        <is>
          <t>Most-solved unsolved: greedy · 1400</t>
        </is>
      </c>
    </row>
    <row r="331">
      <c r="C331" s="16" t="inlineStr">
        <is>
          <t>Codeforces</t>
        </is>
      </c>
      <c r="E331" s="16" t="inlineStr">
        <is>
          <t>CF 1500</t>
        </is>
      </c>
      <c r="H331" s="21">
        <f>IF(G331=TRUE,IF(H331="",TODAY(),H331),"")</f>
        <v/>
      </c>
      <c r="K331" s="16" t="inlineStr">
        <is>
          <t>constructive algorithms</t>
        </is>
      </c>
      <c r="L331" s="16" t="inlineStr">
        <is>
          <t>https://codeforces.com/problemset?order=BY_SOLVED_DESC&amp;tags=constructive%20algorithms,1500-1500</t>
        </is>
      </c>
      <c r="M331" s="16" t="inlineStr">
        <is>
          <t>Most-solved unsolved: constructive algorithms · 1500</t>
        </is>
      </c>
    </row>
    <row r="332">
      <c r="C332" s="16" t="inlineStr">
        <is>
          <t>LeetCode</t>
        </is>
      </c>
      <c r="E332" s="16" t="inlineStr">
        <is>
          <t>Medium</t>
        </is>
      </c>
      <c r="H332" s="21">
        <f>IF(G332=TRUE,IF(H332="",TODAY(),H332),"")</f>
        <v/>
      </c>
      <c r="K332" s="16" t="inlineStr">
        <is>
          <t>Array, Hash Table</t>
        </is>
      </c>
      <c r="L332" s="16" t="inlineStr">
        <is>
          <t>max-sum-of-a-pair-with-equal-sum-of-digits</t>
        </is>
      </c>
    </row>
    <row r="333">
      <c r="C333" s="16" t="inlineStr">
        <is>
          <t>LeetCode</t>
        </is>
      </c>
      <c r="E333" s="16" t="inlineStr">
        <is>
          <t>Medium</t>
        </is>
      </c>
      <c r="H333" s="21">
        <f>IF(G333=TRUE,IF(H333="",TODAY(),H333),"")</f>
        <v/>
      </c>
      <c r="K333" s="16" t="inlineStr">
        <is>
          <t>Hash Table, String</t>
        </is>
      </c>
      <c r="L333" s="16" t="inlineStr">
        <is>
          <t>map-sum-pairs</t>
        </is>
      </c>
    </row>
    <row r="334">
      <c r="C334" s="16" t="inlineStr">
        <is>
          <t>SQL</t>
        </is>
      </c>
      <c r="E334" s="16" t="inlineStr">
        <is>
          <t>Hard</t>
        </is>
      </c>
      <c r="H334" s="21">
        <f>IF(G334=TRUE,IF(H334="",TODAY(),H334),"")</f>
        <v/>
      </c>
      <c r="K334" s="16" t="inlineStr">
        <is>
          <t>SQL</t>
        </is>
      </c>
      <c r="L334" s="16" t="inlineStr">
        <is>
          <t>human-traffic-of-stadium</t>
        </is>
      </c>
    </row>
    <row r="335">
      <c r="C335" s="16" t="inlineStr">
        <is>
          <t>LeetCode</t>
        </is>
      </c>
      <c r="E335" s="16" t="inlineStr">
        <is>
          <t>Hard</t>
        </is>
      </c>
      <c r="H335" s="21">
        <f>IF(G335=TRUE,IF(H335="",TODAY(),H335),"")</f>
        <v/>
      </c>
      <c r="K335" s="16" t="inlineStr">
        <is>
          <t>Array, Binary Search</t>
        </is>
      </c>
      <c r="L335" s="16" t="inlineStr">
        <is>
          <t>count-of-smaller-numbers-after-self</t>
        </is>
      </c>
    </row>
    <row r="336">
      <c r="C336" s="16" t="inlineStr">
        <is>
          <t>LeetCode</t>
        </is>
      </c>
      <c r="E336" s="16" t="inlineStr">
        <is>
          <t>Medium</t>
        </is>
      </c>
      <c r="H336" s="21">
        <f>IF(G336=TRUE,IF(H336="",TODAY(),H336),"")</f>
        <v/>
      </c>
      <c r="K336" s="16" t="inlineStr">
        <is>
          <t>Math, Dynamic Programming</t>
        </is>
      </c>
      <c r="L336" s="16" t="inlineStr">
        <is>
          <t>count-sorted-vowel-strings</t>
        </is>
      </c>
    </row>
    <row r="337">
      <c r="C337" s="16" t="inlineStr">
        <is>
          <t>SQL</t>
        </is>
      </c>
      <c r="E337" s="16" t="inlineStr">
        <is>
          <t>Hard</t>
        </is>
      </c>
      <c r="H337" s="21">
        <f>IF(G337=TRUE,IF(H337="",TODAY(),H337),"")</f>
        <v/>
      </c>
      <c r="K337" s="16" t="inlineStr">
        <is>
          <t>SQL</t>
        </is>
      </c>
      <c r="L337" s="16" t="inlineStr">
        <is>
          <t>department-top-three-salaries</t>
        </is>
      </c>
    </row>
    <row r="338">
      <c r="C338" s="16" t="inlineStr">
        <is>
          <t>LeetCode</t>
        </is>
      </c>
      <c r="E338" s="16" t="inlineStr">
        <is>
          <t>Hard</t>
        </is>
      </c>
      <c r="H338" s="21">
        <f>IF(G338=TRUE,IF(H338="",TODAY(),H338),"")</f>
        <v/>
      </c>
      <c r="K338" s="16" t="inlineStr">
        <is>
          <t>Dynamic Programming, Tree</t>
        </is>
      </c>
      <c r="L338" s="16" t="inlineStr">
        <is>
          <t>binary-tree-cameras</t>
        </is>
      </c>
    </row>
    <row r="339">
      <c r="C339" s="16" t="inlineStr">
        <is>
          <t>LeetCode</t>
        </is>
      </c>
      <c r="E339" s="16" t="inlineStr">
        <is>
          <t>Hard</t>
        </is>
      </c>
      <c r="H339" s="21">
        <f>IF(G339=TRUE,IF(H339="",TODAY(),H339),"")</f>
        <v/>
      </c>
      <c r="K339" s="16" t="inlineStr">
        <is>
          <t>Math, String</t>
        </is>
      </c>
      <c r="L339" s="16" t="inlineStr">
        <is>
          <t>basic-calculator</t>
        </is>
      </c>
    </row>
    <row r="340">
      <c r="C340" s="16" t="inlineStr">
        <is>
          <t>SQL</t>
        </is>
      </c>
      <c r="E340" s="16" t="inlineStr">
        <is>
          <t>Hard</t>
        </is>
      </c>
      <c r="H340" s="21">
        <f>IF(G340=TRUE,IF(H340="",TODAY(),H340),"")</f>
        <v/>
      </c>
      <c r="K340" s="16" t="inlineStr">
        <is>
          <t>SQL</t>
        </is>
      </c>
      <c r="L340" s="16" t="inlineStr">
        <is>
          <t>first-letter-capitalization-ii</t>
        </is>
      </c>
      <c r="M340" s="16" t="inlineStr">
        <is>
          <t>First Letter Capitalization II</t>
        </is>
      </c>
    </row>
    <row r="341">
      <c r="C341" s="16" t="inlineStr">
        <is>
          <t>LeetCode</t>
        </is>
      </c>
      <c r="E341" s="16" t="inlineStr">
        <is>
          <t>Medium</t>
        </is>
      </c>
      <c r="H341" s="21">
        <f>IF(G341=TRUE,IF(H341="",TODAY(),H341),"")</f>
        <v/>
      </c>
      <c r="K341" s="16" t="inlineStr">
        <is>
          <t>Depth-First Search, Trie</t>
        </is>
      </c>
      <c r="L341" s="16" t="inlineStr">
        <is>
          <t>lexicographical-numbers</t>
        </is>
      </c>
    </row>
    <row r="342">
      <c r="C342" s="16" t="inlineStr">
        <is>
          <t>LeetCode</t>
        </is>
      </c>
      <c r="E342" s="16" t="inlineStr">
        <is>
          <t>Medium</t>
        </is>
      </c>
      <c r="H342" s="21">
        <f>IF(G342=TRUE,IF(H342="",TODAY(),H342),"")</f>
        <v/>
      </c>
      <c r="K342" s="16" t="inlineStr">
        <is>
          <t>Array, Hash Table</t>
        </is>
      </c>
      <c r="L342" s="16" t="inlineStr">
        <is>
          <t>max-number-of-k-sum-pairs</t>
        </is>
      </c>
    </row>
    <row r="343">
      <c r="C343" s="16" t="inlineStr">
        <is>
          <t>SQL</t>
        </is>
      </c>
      <c r="E343" s="16" t="inlineStr">
        <is>
          <t>Hard</t>
        </is>
      </c>
      <c r="H343" s="21">
        <f>IF(G343=TRUE,IF(H343="",TODAY(),H343),"")</f>
        <v/>
      </c>
      <c r="K343" s="16" t="inlineStr">
        <is>
          <t>SQL</t>
        </is>
      </c>
      <c r="L343" s="16" t="inlineStr">
        <is>
          <t>find-students-with-study-spiral-pattern</t>
        </is>
      </c>
    </row>
    <row r="344">
      <c r="C344" s="16" t="inlineStr">
        <is>
          <t>LeetCode</t>
        </is>
      </c>
      <c r="E344" s="16" t="inlineStr">
        <is>
          <t>Medium</t>
        </is>
      </c>
      <c r="H344" s="21">
        <f>IF(G344=TRUE,IF(H344="",TODAY(),H344),"")</f>
        <v/>
      </c>
      <c r="K344" s="16" t="inlineStr">
        <is>
          <t>Two Pointers, String</t>
        </is>
      </c>
      <c r="L344" s="16" t="inlineStr">
        <is>
          <t>append-characters-to-string-to-make-subsequence</t>
        </is>
      </c>
    </row>
    <row r="345">
      <c r="C345" s="16" t="inlineStr">
        <is>
          <t>LeetCode</t>
        </is>
      </c>
      <c r="E345" s="16" t="inlineStr">
        <is>
          <t>Hard</t>
        </is>
      </c>
      <c r="H345" s="21">
        <f>IF(G345=TRUE,IF(H345="",TODAY(),H345),"")</f>
        <v/>
      </c>
      <c r="K345" s="16" t="inlineStr">
        <is>
          <t>Array, Hash Table</t>
        </is>
      </c>
      <c r="L345" s="16" t="inlineStr">
        <is>
          <t>minimum-operations-to-make-a-subsequence</t>
        </is>
      </c>
    </row>
    <row r="346">
      <c r="C346" s="16" t="inlineStr">
        <is>
          <t>SQL</t>
        </is>
      </c>
      <c r="E346" s="16" t="inlineStr">
        <is>
          <t>Hard</t>
        </is>
      </c>
      <c r="H346" s="21">
        <f>IF(G346=TRUE,IF(H346="",TODAY(),H346),"")</f>
        <v/>
      </c>
      <c r="K346" s="16" t="inlineStr">
        <is>
          <t>SQL</t>
        </is>
      </c>
      <c r="L346" s="16" t="inlineStr">
        <is>
          <t>find-invalid-ip-addresses</t>
        </is>
      </c>
    </row>
    <row r="347">
      <c r="C347" s="16" t="inlineStr">
        <is>
          <t>LeetCode</t>
        </is>
      </c>
      <c r="E347" s="16" t="inlineStr">
        <is>
          <t>Hard</t>
        </is>
      </c>
      <c r="H347" s="21">
        <f>IF(G347=TRUE,IF(H347="",TODAY(),H347),"")</f>
        <v/>
      </c>
      <c r="K347" s="16" t="inlineStr">
        <is>
          <t>String, Binary Search</t>
        </is>
      </c>
      <c r="L347" s="16" t="inlineStr">
        <is>
          <t>longest-duplicate-substring</t>
        </is>
      </c>
    </row>
    <row r="348">
      <c r="C348" s="16" t="inlineStr">
        <is>
          <t>LeetCode</t>
        </is>
      </c>
      <c r="E348" s="16" t="inlineStr">
        <is>
          <t>Hard</t>
        </is>
      </c>
      <c r="H348" s="21">
        <f>IF(G348=TRUE,IF(H348="",TODAY(),H348),"")</f>
        <v/>
      </c>
      <c r="K348" s="16" t="inlineStr">
        <is>
          <t>Depth-First Search, Graph Theory</t>
        </is>
      </c>
      <c r="L348" s="16" t="inlineStr">
        <is>
          <t>critical-connections-in-a-network</t>
        </is>
      </c>
    </row>
    <row r="349">
      <c r="C349" s="16" t="inlineStr">
        <is>
          <t>SQL</t>
        </is>
      </c>
      <c r="E349" s="16" t="inlineStr">
        <is>
          <t>Medium</t>
        </is>
      </c>
      <c r="H349" s="21">
        <f>IF(G349=TRUE,IF(H349="",TODAY(),H349),"")</f>
        <v/>
      </c>
      <c r="K349" s="16" t="inlineStr">
        <is>
          <t>SQL</t>
        </is>
      </c>
      <c r="L349" s="16" t="inlineStr">
        <is>
          <t>second-highest-salary</t>
        </is>
      </c>
      <c r="M349" s="16" t="inlineStr">
        <is>
          <t>Second Highest Salary (Round 2)</t>
        </is>
      </c>
    </row>
    <row r="350">
      <c r="C350" s="16" t="inlineStr">
        <is>
          <t>LeetCode</t>
        </is>
      </c>
      <c r="E350" s="16" t="inlineStr">
        <is>
          <t>Medium</t>
        </is>
      </c>
      <c r="H350" s="21">
        <f>IF(G350=TRUE,IF(H350="",TODAY(),H350),"")</f>
        <v/>
      </c>
      <c r="K350" s="16" t="inlineStr">
        <is>
          <t>Array, Hash Table</t>
        </is>
      </c>
      <c r="L350" s="16" t="inlineStr">
        <is>
          <t>create-binary-tree-from-descriptions</t>
        </is>
      </c>
    </row>
    <row r="351">
      <c r="C351" s="16" t="inlineStr">
        <is>
          <t>LeetCode</t>
        </is>
      </c>
      <c r="E351" s="16" t="inlineStr">
        <is>
          <t>Medium</t>
        </is>
      </c>
      <c r="H351" s="21">
        <f>IF(G351=TRUE,IF(H351="",TODAY(),H351),"")</f>
        <v/>
      </c>
      <c r="K351" s="16" t="inlineStr">
        <is>
          <t>String, Stack</t>
        </is>
      </c>
      <c r="L351" s="16" t="inlineStr">
        <is>
          <t>smallest-subsequence-of-distinct-characters</t>
        </is>
      </c>
    </row>
    <row r="352">
      <c r="C352" s="16" t="inlineStr">
        <is>
          <t>SQL</t>
        </is>
      </c>
      <c r="E352" s="16" t="inlineStr">
        <is>
          <t>Medium</t>
        </is>
      </c>
      <c r="H352" s="21">
        <f>IF(G352=TRUE,IF(H352="",TODAY(),H352),"")</f>
        <v/>
      </c>
      <c r="K352" s="16" t="inlineStr">
        <is>
          <t>SQL</t>
        </is>
      </c>
      <c r="L352" s="16" t="inlineStr">
        <is>
          <t>consecutive-numbers</t>
        </is>
      </c>
      <c r="M352" s="16" t="inlineStr">
        <is>
          <t>Consecutive Numbers (Round 2)</t>
        </is>
      </c>
    </row>
    <row r="353">
      <c r="C353" s="16" t="inlineStr">
        <is>
          <t>Codeforces</t>
        </is>
      </c>
      <c r="E353" s="16" t="inlineStr">
        <is>
          <t>CF 1400</t>
        </is>
      </c>
      <c r="H353" s="21">
        <f>IF(G353=TRUE,IF(H353="",TODAY(),H353),"")</f>
        <v/>
      </c>
      <c r="K353" s="16" t="inlineStr">
        <is>
          <t>math</t>
        </is>
      </c>
      <c r="L353" s="16" t="inlineStr">
        <is>
          <t>https://codeforces.com/problemset?order=BY_SOLVED_DESC&amp;tags=math,1400-1400</t>
        </is>
      </c>
      <c r="M353" s="16" t="inlineStr">
        <is>
          <t>Most-solved unsolved: math · 1400</t>
        </is>
      </c>
    </row>
    <row r="354">
      <c r="C354" s="16" t="inlineStr">
        <is>
          <t>Codeforces</t>
        </is>
      </c>
      <c r="E354" s="16" t="inlineStr">
        <is>
          <t>CF 1500</t>
        </is>
      </c>
      <c r="H354" s="21">
        <f>IF(G354=TRUE,IF(H354="",TODAY(),H354),"")</f>
        <v/>
      </c>
      <c r="K354" s="16" t="inlineStr">
        <is>
          <t>implementation</t>
        </is>
      </c>
      <c r="L354" s="16" t="inlineStr">
        <is>
          <t>https://codeforces.com/problemset?order=BY_SOLVED_DESC&amp;tags=implementation,1500-1500</t>
        </is>
      </c>
      <c r="M354" s="16" t="inlineStr">
        <is>
          <t>Most-solved unsolved: implementation · 1500</t>
        </is>
      </c>
    </row>
    <row r="355">
      <c r="C355" s="16" t="inlineStr">
        <is>
          <t>LeetCode</t>
        </is>
      </c>
      <c r="E355" s="16" t="inlineStr">
        <is>
          <t>Medium</t>
        </is>
      </c>
      <c r="H355" s="21">
        <f>IF(G355=TRUE,IF(H355="",TODAY(),H355),"")</f>
        <v/>
      </c>
      <c r="K355" s="16" t="inlineStr">
        <is>
          <t>Array, Math</t>
        </is>
      </c>
      <c r="L355" s="16" t="inlineStr">
        <is>
          <t>total-hamming-distance</t>
        </is>
      </c>
    </row>
    <row r="356">
      <c r="C356" s="16" t="inlineStr">
        <is>
          <t>LeetCode</t>
        </is>
      </c>
      <c r="E356" s="16" t="inlineStr">
        <is>
          <t>Medium</t>
        </is>
      </c>
      <c r="H356" s="21">
        <f>IF(G356=TRUE,IF(H356="",TODAY(),H356),"")</f>
        <v/>
      </c>
      <c r="K356" s="16" t="inlineStr">
        <is>
          <t>Tree, Depth-First Search</t>
        </is>
      </c>
      <c r="L356" s="16" t="inlineStr">
        <is>
          <t>find-largest-value-in-each-tree-row</t>
        </is>
      </c>
    </row>
    <row r="357">
      <c r="C357" s="16" t="inlineStr">
        <is>
          <t>SQL</t>
        </is>
      </c>
      <c r="E357" s="16" t="inlineStr">
        <is>
          <t>Medium</t>
        </is>
      </c>
      <c r="H357" s="21">
        <f>IF(G357=TRUE,IF(H357="",TODAY(),H357),"")</f>
        <v/>
      </c>
      <c r="K357" s="16" t="inlineStr">
        <is>
          <t>SQL</t>
        </is>
      </c>
      <c r="L357" s="16" t="inlineStr">
        <is>
          <t>rank-scores</t>
        </is>
      </c>
      <c r="M357" s="16" t="inlineStr">
        <is>
          <t>Rank Scores (Round 2)</t>
        </is>
      </c>
    </row>
    <row r="358">
      <c r="C358" s="16" t="inlineStr">
        <is>
          <t>LeetCode</t>
        </is>
      </c>
      <c r="E358" s="16" t="inlineStr">
        <is>
          <t>Medium</t>
        </is>
      </c>
      <c r="H358" s="21">
        <f>IF(G358=TRUE,IF(H358="",TODAY(),H358),"")</f>
        <v/>
      </c>
      <c r="K358" s="16" t="inlineStr">
        <is>
          <t>Hash Table, Linked List</t>
        </is>
      </c>
      <c r="L358" s="16" t="inlineStr">
        <is>
          <t>linked-list-cycle-ii</t>
        </is>
      </c>
      <c r="M358" s="16" t="inlineStr">
        <is>
          <t>Linked List Cycle II</t>
        </is>
      </c>
    </row>
    <row r="359">
      <c r="C359" s="16" t="inlineStr">
        <is>
          <t>LeetCode</t>
        </is>
      </c>
      <c r="E359" s="16" t="inlineStr">
        <is>
          <t>Medium</t>
        </is>
      </c>
      <c r="H359" s="21">
        <f>IF(G359=TRUE,IF(H359="",TODAY(),H359),"")</f>
        <v/>
      </c>
      <c r="K359" s="16" t="inlineStr">
        <is>
          <t>Array, Hash Table</t>
        </is>
      </c>
      <c r="L359" s="16" t="inlineStr">
        <is>
          <t>delete-nodes-and-return-forest</t>
        </is>
      </c>
    </row>
    <row r="360">
      <c r="C360" s="16" t="inlineStr">
        <is>
          <t>SQL</t>
        </is>
      </c>
      <c r="E360" s="16" t="inlineStr">
        <is>
          <t>Medium</t>
        </is>
      </c>
      <c r="H360" s="21">
        <f>IF(G360=TRUE,IF(H360="",TODAY(),H360),"")</f>
        <v/>
      </c>
      <c r="K360" s="16" t="inlineStr">
        <is>
          <t>SQL</t>
        </is>
      </c>
      <c r="L360" s="16" t="inlineStr">
        <is>
          <t>department-highest-salary</t>
        </is>
      </c>
      <c r="M360" s="16" t="inlineStr">
        <is>
          <t>Department Highest Salary (Round 2)</t>
        </is>
      </c>
    </row>
    <row r="361">
      <c r="C361" s="16" t="inlineStr">
        <is>
          <t>LeetCode</t>
        </is>
      </c>
      <c r="E361" s="16" t="inlineStr">
        <is>
          <t>Medium</t>
        </is>
      </c>
      <c r="H361" s="21">
        <f>IF(G361=TRUE,IF(H361="",TODAY(),H361),"")</f>
        <v/>
      </c>
      <c r="K361" s="16" t="inlineStr">
        <is>
          <t>Dynamic Programming, Graph Theory</t>
        </is>
      </c>
      <c r="L361" s="16" t="inlineStr">
        <is>
          <t>number-of-ways-to-arrive-at-destination</t>
        </is>
      </c>
    </row>
    <row r="362">
      <c r="C362" s="16" t="inlineStr">
        <is>
          <t>LeetCode</t>
        </is>
      </c>
      <c r="E362" s="16" t="inlineStr">
        <is>
          <t>Hard</t>
        </is>
      </c>
      <c r="H362" s="21">
        <f>IF(G362=TRUE,IF(H362="",TODAY(),H362),"")</f>
        <v/>
      </c>
      <c r="K362" s="16" t="inlineStr">
        <is>
          <t>Array, Backtracking</t>
        </is>
      </c>
      <c r="L362" s="16" t="inlineStr">
        <is>
          <t>unique-paths-iii</t>
        </is>
      </c>
      <c r="M362" s="16" t="inlineStr">
        <is>
          <t>Unique Paths III</t>
        </is>
      </c>
    </row>
    <row r="363">
      <c r="C363" s="16" t="inlineStr">
        <is>
          <t>SQL</t>
        </is>
      </c>
      <c r="E363" s="16" t="inlineStr">
        <is>
          <t>Medium</t>
        </is>
      </c>
      <c r="H363" s="21">
        <f>IF(G363=TRUE,IF(H363="",TODAY(),H363),"")</f>
        <v/>
      </c>
      <c r="K363" s="16" t="inlineStr">
        <is>
          <t>SQL</t>
        </is>
      </c>
      <c r="L363" s="16" t="inlineStr">
        <is>
          <t>nth-highest-salary</t>
        </is>
      </c>
      <c r="M363" s="16" t="inlineStr">
        <is>
          <t>Nth Highest Salary (Round 2)</t>
        </is>
      </c>
    </row>
    <row r="364">
      <c r="C364" s="16" t="inlineStr">
        <is>
          <t>LeetCode</t>
        </is>
      </c>
      <c r="E364" s="16" t="inlineStr">
        <is>
          <t>Medium</t>
        </is>
      </c>
      <c r="H364" s="21">
        <f>IF(G364=TRUE,IF(H364="",TODAY(),H364),"")</f>
        <v/>
      </c>
      <c r="K364" s="16" t="inlineStr">
        <is>
          <t>Array, Greedy</t>
        </is>
      </c>
      <c r="L364" s="16" t="inlineStr">
        <is>
          <t>maximum-number-of-events-that-can-be-attended</t>
        </is>
      </c>
    </row>
    <row r="365">
      <c r="C365" s="16" t="inlineStr">
        <is>
          <t>LeetCode</t>
        </is>
      </c>
      <c r="E365" s="16" t="inlineStr">
        <is>
          <t>Medium</t>
        </is>
      </c>
      <c r="H365" s="21">
        <f>IF(G365=TRUE,IF(H365="",TODAY(),H365),"")</f>
        <v/>
      </c>
      <c r="K365" s="16" t="inlineStr">
        <is>
          <t>Array, Binary Search</t>
        </is>
      </c>
      <c r="L365" s="16" t="inlineStr">
        <is>
          <t>minimum-time-to-complete-trips</t>
        </is>
      </c>
    </row>
    <row r="366">
      <c r="C366" s="16" t="inlineStr">
        <is>
          <t>SQL</t>
        </is>
      </c>
      <c r="E366" s="16" t="inlineStr">
        <is>
          <t>Medium</t>
        </is>
      </c>
      <c r="H366" s="21">
        <f>IF(G366=TRUE,IF(H366="",TODAY(),H366),"")</f>
        <v/>
      </c>
      <c r="K366" s="16" t="inlineStr">
        <is>
          <t>SQL</t>
        </is>
      </c>
      <c r="L366" s="16" t="inlineStr">
        <is>
          <t>exchange-seats</t>
        </is>
      </c>
      <c r="M366" s="16" t="inlineStr">
        <is>
          <t>Exchange Seats (Round 2)</t>
        </is>
      </c>
    </row>
    <row r="367">
      <c r="C367" s="16" t="inlineStr">
        <is>
          <t>LeetCode</t>
        </is>
      </c>
      <c r="E367" s="16" t="inlineStr">
        <is>
          <t>Medium</t>
        </is>
      </c>
      <c r="H367" s="21">
        <f>IF(G367=TRUE,IF(H367="",TODAY(),H367),"")</f>
        <v/>
      </c>
      <c r="K367" s="16" t="inlineStr">
        <is>
          <t>Array, Greedy</t>
        </is>
      </c>
      <c r="L367" s="16" t="inlineStr">
        <is>
          <t>score-after-flipping-matrix</t>
        </is>
      </c>
    </row>
    <row r="368">
      <c r="C368" s="16" t="inlineStr">
        <is>
          <t>LeetCode</t>
        </is>
      </c>
      <c r="E368" s="16" t="inlineStr">
        <is>
          <t>Medium</t>
        </is>
      </c>
      <c r="H368" s="21">
        <f>IF(G368=TRUE,IF(H368="",TODAY(),H368),"")</f>
        <v/>
      </c>
      <c r="K368" s="16" t="inlineStr">
        <is>
          <t>Array, Sorting</t>
        </is>
      </c>
      <c r="L368" s="16" t="inlineStr">
        <is>
          <t>reduction-operations-to-make-the-array-elements-equal</t>
        </is>
      </c>
    </row>
    <row r="369">
      <c r="C369" s="16" t="inlineStr">
        <is>
          <t>SQL</t>
        </is>
      </c>
      <c r="E369" s="16" t="inlineStr">
        <is>
          <t>Medium</t>
        </is>
      </c>
      <c r="H369" s="21">
        <f>IF(G369=TRUE,IF(H369="",TODAY(),H369),"")</f>
        <v/>
      </c>
      <c r="K369" s="16" t="inlineStr">
        <is>
          <t>SQL</t>
        </is>
      </c>
      <c r="L369" s="16" t="inlineStr">
        <is>
          <t>managers-with-at-least-5-direct-reports</t>
        </is>
      </c>
      <c r="M369" s="16" t="inlineStr">
        <is>
          <t>Managers with at Least 5 Direct Reports (Round 2)</t>
        </is>
      </c>
    </row>
    <row r="370">
      <c r="C370" s="16" t="inlineStr">
        <is>
          <t>LeetCode</t>
        </is>
      </c>
      <c r="E370" s="16" t="inlineStr">
        <is>
          <t>Hard</t>
        </is>
      </c>
      <c r="H370" s="21">
        <f>IF(G370=TRUE,IF(H370="",TODAY(),H370),"")</f>
        <v/>
      </c>
      <c r="K370" s="16" t="inlineStr">
        <is>
          <t>Array, Dynamic Programming</t>
        </is>
      </c>
      <c r="L370" s="16" t="inlineStr">
        <is>
          <t>cherry-pickup</t>
        </is>
      </c>
    </row>
    <row r="371">
      <c r="C371" s="16" t="inlineStr">
        <is>
          <t>LeetCode</t>
        </is>
      </c>
      <c r="E371" s="16" t="inlineStr">
        <is>
          <t>Medium</t>
        </is>
      </c>
      <c r="H371" s="21">
        <f>IF(G371=TRUE,IF(H371="",TODAY(),H371),"")</f>
        <v/>
      </c>
      <c r="K371" s="16" t="inlineStr">
        <is>
          <t>Array, Two Pointers</t>
        </is>
      </c>
      <c r="L371" s="16" t="inlineStr">
        <is>
          <t>3sum-closest</t>
        </is>
      </c>
    </row>
    <row r="372">
      <c r="C372" s="16" t="inlineStr">
        <is>
          <t>SQL</t>
        </is>
      </c>
      <c r="E372" s="16" t="inlineStr">
        <is>
          <t>Medium</t>
        </is>
      </c>
      <c r="H372" s="21">
        <f>IF(G372=TRUE,IF(H372="",TODAY(),H372),"")</f>
        <v/>
      </c>
      <c r="K372" s="16" t="inlineStr">
        <is>
          <t>SQL</t>
        </is>
      </c>
      <c r="L372" s="16" t="inlineStr">
        <is>
          <t>confirmation-rate</t>
        </is>
      </c>
      <c r="M372" s="16" t="inlineStr">
        <is>
          <t>Confirmation Rate (Round 2)</t>
        </is>
      </c>
    </row>
    <row r="373">
      <c r="C373" s="16" t="inlineStr">
        <is>
          <t>LeetCode</t>
        </is>
      </c>
      <c r="E373" s="16" t="inlineStr">
        <is>
          <t>Hard</t>
        </is>
      </c>
      <c r="H373" s="21">
        <f>IF(G373=TRUE,IF(H373="",TODAY(),H373),"")</f>
        <v/>
      </c>
      <c r="K373" s="16" t="inlineStr">
        <is>
          <t>Array, Hash Table</t>
        </is>
      </c>
      <c r="L373" s="16" t="inlineStr">
        <is>
          <t>palindrome-pairs</t>
        </is>
      </c>
    </row>
    <row r="374">
      <c r="C374" s="16" t="inlineStr">
        <is>
          <t>LeetCode</t>
        </is>
      </c>
      <c r="E374" s="16" t="inlineStr">
        <is>
          <t>Medium</t>
        </is>
      </c>
      <c r="H374" s="21">
        <f>IF(G374=TRUE,IF(H374="",TODAY(),H374),"")</f>
        <v/>
      </c>
      <c r="K374" s="16" t="inlineStr">
        <is>
          <t>Array, Bit Manipulation</t>
        </is>
      </c>
      <c r="L374" s="16" t="inlineStr">
        <is>
          <t>find-the-original-array-of-prefix-xor</t>
        </is>
      </c>
    </row>
    <row r="375">
      <c r="C375" s="16" t="inlineStr">
        <is>
          <t>SQL</t>
        </is>
      </c>
      <c r="E375" s="16" t="inlineStr">
        <is>
          <t>Medium</t>
        </is>
      </c>
      <c r="H375" s="21">
        <f>IF(G375=TRUE,IF(H375="",TODAY(),H375),"")</f>
        <v/>
      </c>
      <c r="K375" s="16" t="inlineStr">
        <is>
          <t>SQL</t>
        </is>
      </c>
      <c r="L375" s="16" t="inlineStr">
        <is>
          <t>game-play-analysis-iv</t>
        </is>
      </c>
      <c r="M375" s="16" t="inlineStr">
        <is>
          <t>Game Play Analysis IV (Round 2)</t>
        </is>
      </c>
    </row>
    <row r="376">
      <c r="C376" s="16" t="inlineStr">
        <is>
          <t>Codeforces</t>
        </is>
      </c>
      <c r="E376" s="16" t="inlineStr">
        <is>
          <t>CF 1400</t>
        </is>
      </c>
      <c r="H376" s="21">
        <f>IF(G376=TRUE,IF(H376="",TODAY(),H376),"")</f>
        <v/>
      </c>
      <c r="K376" s="16" t="inlineStr">
        <is>
          <t>binary search</t>
        </is>
      </c>
      <c r="L376" s="16" t="inlineStr">
        <is>
          <t>https://codeforces.com/problemset?order=BY_SOLVED_DESC&amp;tags=binary%20search,1400-1400</t>
        </is>
      </c>
      <c r="M376" s="16" t="inlineStr">
        <is>
          <t>Most-solved unsolved: binary search · 1400</t>
        </is>
      </c>
    </row>
    <row r="377">
      <c r="C377" s="16" t="inlineStr">
        <is>
          <t>Codeforces</t>
        </is>
      </c>
      <c r="E377" s="16" t="inlineStr">
        <is>
          <t>CF 1500</t>
        </is>
      </c>
      <c r="H377" s="21">
        <f>IF(G377=TRUE,IF(H377="",TODAY(),H377),"")</f>
        <v/>
      </c>
      <c r="K377" s="16" t="inlineStr">
        <is>
          <t>two pointers</t>
        </is>
      </c>
      <c r="L377" s="16" t="inlineStr">
        <is>
          <t>https://codeforces.com/problemset?order=BY_SOLVED_DESC&amp;tags=two%20pointers,1500-1500</t>
        </is>
      </c>
      <c r="M377" s="16" t="inlineStr">
        <is>
          <t>Most-solved unsolved: two pointers · 1500</t>
        </is>
      </c>
    </row>
    <row r="378">
      <c r="C378" s="16" t="inlineStr">
        <is>
          <t>LeetCode</t>
        </is>
      </c>
      <c r="E378" s="16" t="inlineStr">
        <is>
          <t>Hard</t>
        </is>
      </c>
      <c r="H378" s="21">
        <f>IF(G378=TRUE,IF(H378="",TODAY(),H378),"")</f>
        <v/>
      </c>
      <c r="K378" s="16" t="inlineStr">
        <is>
          <t>String, Backtracking</t>
        </is>
      </c>
      <c r="L378" s="16" t="inlineStr">
        <is>
          <t>remove-invalid-parentheses</t>
        </is>
      </c>
    </row>
    <row r="379">
      <c r="C379" s="16" t="inlineStr">
        <is>
          <t>LeetCode</t>
        </is>
      </c>
      <c r="E379" s="16" t="inlineStr">
        <is>
          <t>Medium</t>
        </is>
      </c>
      <c r="H379" s="21">
        <f>IF(G379=TRUE,IF(H379="",TODAY(),H379),"")</f>
        <v/>
      </c>
      <c r="K379" s="16" t="inlineStr">
        <is>
          <t>Array, Prefix Sum</t>
        </is>
      </c>
      <c r="L379" s="16" t="inlineStr">
        <is>
          <t>minimum-average-difference</t>
        </is>
      </c>
    </row>
    <row r="380">
      <c r="C380" s="16" t="inlineStr">
        <is>
          <t>SQL</t>
        </is>
      </c>
      <c r="E380" s="16" t="inlineStr">
        <is>
          <t>Medium</t>
        </is>
      </c>
      <c r="H380" s="21">
        <f>IF(G380=TRUE,IF(H380="",TODAY(),H380),"")</f>
        <v/>
      </c>
      <c r="K380" s="16" t="inlineStr">
        <is>
          <t>SQL</t>
        </is>
      </c>
      <c r="L380" s="16" t="inlineStr">
        <is>
          <t>monthly-transactions-i</t>
        </is>
      </c>
      <c r="M380" s="16" t="inlineStr">
        <is>
          <t>Monthly Transactions I (Round 2)</t>
        </is>
      </c>
    </row>
    <row r="381">
      <c r="C381" s="16" t="inlineStr">
        <is>
          <t>LeetCode</t>
        </is>
      </c>
      <c r="E381" s="16" t="inlineStr">
        <is>
          <t>Medium</t>
        </is>
      </c>
      <c r="H381" s="21">
        <f>IF(G381=TRUE,IF(H381="",TODAY(),H381),"")</f>
        <v/>
      </c>
      <c r="K381" s="16" t="inlineStr">
        <is>
          <t>Hash Table, String</t>
        </is>
      </c>
      <c r="L381" s="16" t="inlineStr">
        <is>
          <t>find-longest-special-substring-that-occurs-thrice-i</t>
        </is>
      </c>
      <c r="M381" s="16" t="inlineStr">
        <is>
          <t>Find Longest Special Substring That Occurs Thrice I</t>
        </is>
      </c>
    </row>
    <row r="382">
      <c r="C382" s="16" t="inlineStr">
        <is>
          <t>LeetCode</t>
        </is>
      </c>
      <c r="E382" s="16" t="inlineStr">
        <is>
          <t>Hard</t>
        </is>
      </c>
      <c r="H382" s="21">
        <f>IF(G382=TRUE,IF(H382="",TODAY(),H382),"")</f>
        <v/>
      </c>
      <c r="K382" s="16" t="inlineStr">
        <is>
          <t>String, Rolling Hash</t>
        </is>
      </c>
      <c r="L382" s="16" t="inlineStr">
        <is>
          <t>shortest-palindrome</t>
        </is>
      </c>
    </row>
    <row r="383">
      <c r="C383" s="16" t="inlineStr">
        <is>
          <t>SQL</t>
        </is>
      </c>
      <c r="E383" s="16" t="inlineStr">
        <is>
          <t>Medium</t>
        </is>
      </c>
      <c r="H383" s="21">
        <f>IF(G383=TRUE,IF(H383="",TODAY(),H383),"")</f>
        <v/>
      </c>
      <c r="K383" s="16" t="inlineStr">
        <is>
          <t>SQL</t>
        </is>
      </c>
      <c r="L383" s="16" t="inlineStr">
        <is>
          <t>product-price-at-a-given-date</t>
        </is>
      </c>
      <c r="M383" s="16" t="inlineStr">
        <is>
          <t>Product Price at a Given Date (Round 2)</t>
        </is>
      </c>
    </row>
    <row r="384">
      <c r="C384" s="16" t="inlineStr">
        <is>
          <t>LeetCode</t>
        </is>
      </c>
      <c r="E384" s="16" t="inlineStr">
        <is>
          <t>Medium</t>
        </is>
      </c>
      <c r="H384" s="21">
        <f>IF(G384=TRUE,IF(H384="",TODAY(),H384),"")</f>
        <v/>
      </c>
      <c r="K384" s="16" t="inlineStr">
        <is>
          <t>Array, Binary Search</t>
        </is>
      </c>
      <c r="L384" s="16" t="inlineStr">
        <is>
          <t>minimum-number-of-days-to-make-m-bouquets</t>
        </is>
      </c>
    </row>
    <row r="385">
      <c r="C385" s="16" t="inlineStr">
        <is>
          <t>LeetCode</t>
        </is>
      </c>
      <c r="E385" s="16" t="inlineStr">
        <is>
          <t>Hard</t>
        </is>
      </c>
      <c r="H385" s="21">
        <f>IF(G385=TRUE,IF(H385="",TODAY(),H385),"")</f>
        <v/>
      </c>
      <c r="K385" s="16" t="inlineStr">
        <is>
          <t>Array, Breadth-First Search</t>
        </is>
      </c>
      <c r="L385" s="16" t="inlineStr">
        <is>
          <t>shortest-path-in-a-grid-with-obstacles-elimination</t>
        </is>
      </c>
    </row>
    <row r="386">
      <c r="C386" s="16" t="inlineStr">
        <is>
          <t>SQL</t>
        </is>
      </c>
      <c r="E386" s="16" t="inlineStr">
        <is>
          <t>Medium</t>
        </is>
      </c>
      <c r="H386" s="21">
        <f>IF(G386=TRUE,IF(H386="",TODAY(),H386),"")</f>
        <v/>
      </c>
      <c r="K386" s="16" t="inlineStr">
        <is>
          <t>SQL</t>
        </is>
      </c>
      <c r="L386" s="16" t="inlineStr">
        <is>
          <t>tree-node</t>
        </is>
      </c>
      <c r="M386" s="16" t="inlineStr">
        <is>
          <t>Tree Node (Round 2)</t>
        </is>
      </c>
    </row>
    <row r="387">
      <c r="C387" s="16" t="inlineStr">
        <is>
          <t>LeetCode</t>
        </is>
      </c>
      <c r="E387" s="16" t="inlineStr">
        <is>
          <t>Medium</t>
        </is>
      </c>
      <c r="H387" s="21">
        <f>IF(G387=TRUE,IF(H387="",TODAY(),H387),"")</f>
        <v/>
      </c>
      <c r="K387" s="16" t="inlineStr">
        <is>
          <t>String, Backtracking</t>
        </is>
      </c>
      <c r="L387" s="16" t="inlineStr">
        <is>
          <t>letter-case-permutation</t>
        </is>
      </c>
    </row>
    <row r="388">
      <c r="C388" s="16" t="inlineStr">
        <is>
          <t>LeetCode</t>
        </is>
      </c>
      <c r="E388" s="16" t="inlineStr">
        <is>
          <t>Medium</t>
        </is>
      </c>
      <c r="H388" s="21">
        <f>IF(G388=TRUE,IF(H388="",TODAY(),H388),"")</f>
        <v/>
      </c>
      <c r="K388" s="16" t="inlineStr">
        <is>
          <t>Array, Two Pointers</t>
        </is>
      </c>
      <c r="L388" s="16" t="inlineStr">
        <is>
          <t>range-sum-of-sorted-subarray-sums</t>
        </is>
      </c>
    </row>
    <row r="389">
      <c r="C389" s="16" t="inlineStr">
        <is>
          <t>SQL</t>
        </is>
      </c>
      <c r="E389" s="16" t="inlineStr">
        <is>
          <t>Medium</t>
        </is>
      </c>
      <c r="H389" s="21">
        <f>IF(G389=TRUE,IF(H389="",TODAY(),H389),"")</f>
        <v/>
      </c>
      <c r="K389" s="16" t="inlineStr">
        <is>
          <t>SQL</t>
        </is>
      </c>
      <c r="L389" s="16" t="inlineStr">
        <is>
          <t>immediate-food-delivery-ii</t>
        </is>
      </c>
      <c r="M389" s="16" t="inlineStr">
        <is>
          <t>Immediate Food Delivery II (Round 2)</t>
        </is>
      </c>
    </row>
    <row r="390">
      <c r="C390" s="16" t="inlineStr">
        <is>
          <t>LeetCode</t>
        </is>
      </c>
      <c r="E390" s="16" t="inlineStr">
        <is>
          <t>Hard</t>
        </is>
      </c>
      <c r="H390" s="21">
        <f>IF(G390=TRUE,IF(H390="",TODAY(),H390),"")</f>
        <v/>
      </c>
      <c r="K390" s="16" t="inlineStr">
        <is>
          <t>Array, Binary Search</t>
        </is>
      </c>
      <c r="L390" s="16" t="inlineStr">
        <is>
          <t>maximum-running-time-of-n-computers</t>
        </is>
      </c>
    </row>
    <row r="391">
      <c r="C391" s="16" t="inlineStr">
        <is>
          <t>LeetCode</t>
        </is>
      </c>
      <c r="E391" s="16" t="inlineStr">
        <is>
          <t>Medium</t>
        </is>
      </c>
      <c r="H391" s="21">
        <f>IF(G391=TRUE,IF(H391="",TODAY(),H391),"")</f>
        <v/>
      </c>
      <c r="K391" s="16" t="inlineStr">
        <is>
          <t>Depth-First Search, Breadth-First Search</t>
        </is>
      </c>
      <c r="L391" s="16" t="inlineStr">
        <is>
          <t>minimum-height-trees</t>
        </is>
      </c>
    </row>
    <row r="392">
      <c r="C392" s="16" t="inlineStr">
        <is>
          <t>SQL</t>
        </is>
      </c>
      <c r="E392" s="16" t="inlineStr">
        <is>
          <t>Medium</t>
        </is>
      </c>
      <c r="H392" s="21">
        <f>IF(G392=TRUE,IF(H392="",TODAY(),H392),"")</f>
        <v/>
      </c>
      <c r="K392" s="16" t="inlineStr">
        <is>
          <t>SQL</t>
        </is>
      </c>
      <c r="L392" s="16" t="inlineStr">
        <is>
          <t>customers-who-bought-all-products</t>
        </is>
      </c>
      <c r="M392" s="16" t="inlineStr">
        <is>
          <t>Customers Who Bought All Products (Round 2)</t>
        </is>
      </c>
    </row>
    <row r="393">
      <c r="C393" s="16" t="inlineStr">
        <is>
          <t>LeetCode</t>
        </is>
      </c>
      <c r="E393" s="16" t="inlineStr">
        <is>
          <t>Medium</t>
        </is>
      </c>
      <c r="H393" s="21">
        <f>IF(G393=TRUE,IF(H393="",TODAY(),H393),"")</f>
        <v/>
      </c>
      <c r="K393" s="16" t="inlineStr">
        <is>
          <t>Hash Table, String</t>
        </is>
      </c>
      <c r="L393" s="16" t="inlineStr">
        <is>
          <t>minimum-genetic-mutation</t>
        </is>
      </c>
    </row>
    <row r="394">
      <c r="C394" s="16" t="inlineStr">
        <is>
          <t>LeetCode</t>
        </is>
      </c>
      <c r="E394" s="16" t="inlineStr">
        <is>
          <t>Medium</t>
        </is>
      </c>
      <c r="H394" s="21">
        <f>IF(G394=TRUE,IF(H394="",TODAY(),H394),"")</f>
        <v/>
      </c>
      <c r="K394" s="16" t="inlineStr">
        <is>
          <t>Array, Two Pointers</t>
        </is>
      </c>
      <c r="L394" s="16" t="inlineStr">
        <is>
          <t>interval-list-intersections</t>
        </is>
      </c>
    </row>
    <row r="395">
      <c r="C395" s="16" t="inlineStr">
        <is>
          <t>SQL</t>
        </is>
      </c>
      <c r="E395" s="16" t="inlineStr">
        <is>
          <t>Medium</t>
        </is>
      </c>
      <c r="H395" s="21">
        <f>IF(G395=TRUE,IF(H395="",TODAY(),H395),"")</f>
        <v/>
      </c>
      <c r="K395" s="16" t="inlineStr">
        <is>
          <t>SQL</t>
        </is>
      </c>
      <c r="L395" s="16" t="inlineStr">
        <is>
          <t>restaurant-growth</t>
        </is>
      </c>
      <c r="M395" s="16" t="inlineStr">
        <is>
          <t>Restaurant Growth (Round 2)</t>
        </is>
      </c>
    </row>
    <row r="396">
      <c r="C396" s="16" t="inlineStr">
        <is>
          <t>LeetCode</t>
        </is>
      </c>
      <c r="E396" s="16" t="inlineStr">
        <is>
          <t>Medium</t>
        </is>
      </c>
      <c r="H396" s="21">
        <f>IF(G396=TRUE,IF(H396="",TODAY(),H396),"")</f>
        <v/>
      </c>
      <c r="K396" s="16" t="inlineStr">
        <is>
          <t>String, Stack</t>
        </is>
      </c>
      <c r="L396" s="16" t="inlineStr">
        <is>
          <t>minimum-add-to-make-parentheses-valid</t>
        </is>
      </c>
    </row>
    <row r="397">
      <c r="C397" s="16" t="inlineStr">
        <is>
          <t>LeetCode</t>
        </is>
      </c>
      <c r="E397" s="16" t="inlineStr">
        <is>
          <t>Medium</t>
        </is>
      </c>
      <c r="H397" s="21">
        <f>IF(G397=TRUE,IF(H397="",TODAY(),H397),"")</f>
        <v/>
      </c>
      <c r="K397" s="16" t="inlineStr">
        <is>
          <t>String, Backtracking</t>
        </is>
      </c>
      <c r="L397" s="16" t="inlineStr">
        <is>
          <t>the-k-th-lexicographical-string-of-all-happy-strings-of-length-n</t>
        </is>
      </c>
    </row>
    <row r="398">
      <c r="C398" s="16" t="inlineStr">
        <is>
          <t>SQL</t>
        </is>
      </c>
      <c r="E398" s="16" t="inlineStr">
        <is>
          <t>Medium</t>
        </is>
      </c>
      <c r="H398" s="21">
        <f>IF(G398=TRUE,IF(H398="",TODAY(),H398),"")</f>
        <v/>
      </c>
      <c r="K398" s="16" t="inlineStr">
        <is>
          <t>SQL</t>
        </is>
      </c>
      <c r="L398" s="16" t="inlineStr">
        <is>
          <t>last-person-to-fit-in-the-bus</t>
        </is>
      </c>
      <c r="M398" s="16" t="inlineStr">
        <is>
          <t>Last Person to Fit in the Bus (Round 2)</t>
        </is>
      </c>
    </row>
    <row r="399">
      <c r="C399" s="16" t="inlineStr">
        <is>
          <t>Codeforces</t>
        </is>
      </c>
      <c r="E399" s="16" t="inlineStr">
        <is>
          <t>CF 1400</t>
        </is>
      </c>
      <c r="H399" s="21">
        <f>IF(G399=TRUE,IF(H399="",TODAY(),H399),"")</f>
        <v/>
      </c>
      <c r="K399" s="16" t="inlineStr">
        <is>
          <t>sortings</t>
        </is>
      </c>
      <c r="L399" s="16" t="inlineStr">
        <is>
          <t>https://codeforces.com/problemset?order=BY_SOLVED_DESC&amp;tags=sortings,1400-1400</t>
        </is>
      </c>
      <c r="M399" s="16" t="inlineStr">
        <is>
          <t>Most-solved unsolved: sortings · 1400</t>
        </is>
      </c>
    </row>
    <row r="400">
      <c r="C400" s="16" t="inlineStr">
        <is>
          <t>Codeforces</t>
        </is>
      </c>
      <c r="E400" s="16" t="inlineStr">
        <is>
          <t>CF 1500</t>
        </is>
      </c>
      <c r="H400" s="21">
        <f>IF(G400=TRUE,IF(H400="",TODAY(),H400),"")</f>
        <v/>
      </c>
      <c r="K400" s="16" t="inlineStr">
        <is>
          <t>strings</t>
        </is>
      </c>
      <c r="L400" s="16" t="inlineStr">
        <is>
          <t>https://codeforces.com/problemset?order=BY_SOLVED_DESC&amp;tags=strings,1500-1500</t>
        </is>
      </c>
      <c r="M400" s="16" t="inlineStr">
        <is>
          <t>Most-solved unsolved: strings · 1500</t>
        </is>
      </c>
    </row>
    <row r="401">
      <c r="C401" s="16" t="inlineStr">
        <is>
          <t>LeetCode</t>
        </is>
      </c>
      <c r="E401" s="16" t="inlineStr">
        <is>
          <t>Hard</t>
        </is>
      </c>
      <c r="H401" s="21">
        <f>IF(G401=TRUE,IF(H401="",TODAY(),H401),"")</f>
        <v/>
      </c>
      <c r="K401" s="16" t="inlineStr">
        <is>
          <t>Array, Binary Search</t>
        </is>
      </c>
      <c r="L401" s="16" t="inlineStr">
        <is>
          <t>find-minimum-in-rotated-sorted-array-ii</t>
        </is>
      </c>
      <c r="M401" s="16" t="inlineStr">
        <is>
          <t>Find Minimum in Rotated Sorted Array II</t>
        </is>
      </c>
    </row>
    <row r="402">
      <c r="C402" s="16" t="inlineStr">
        <is>
          <t>LeetCode</t>
        </is>
      </c>
      <c r="E402" s="16" t="inlineStr">
        <is>
          <t>Hard</t>
        </is>
      </c>
      <c r="H402" s="21">
        <f>IF(G402=TRUE,IF(H402="",TODAY(),H402),"")</f>
        <v/>
      </c>
      <c r="K402" s="16" t="inlineStr">
        <is>
          <t>Array, Binary Search</t>
        </is>
      </c>
      <c r="L402" s="16" t="inlineStr">
        <is>
          <t>maximum-fruits-harvested-after-at-most-k-steps</t>
        </is>
      </c>
    </row>
    <row r="403">
      <c r="C403" s="16" t="inlineStr">
        <is>
          <t>SQL</t>
        </is>
      </c>
      <c r="E403" s="16" t="inlineStr">
        <is>
          <t>Medium</t>
        </is>
      </c>
      <c r="H403" s="21">
        <f>IF(G403=TRUE,IF(H403="",TODAY(),H403),"")</f>
        <v/>
      </c>
      <c r="K403" s="16" t="inlineStr">
        <is>
          <t>SQL</t>
        </is>
      </c>
      <c r="L403" s="16" t="inlineStr">
        <is>
          <t>movie-rating</t>
        </is>
      </c>
      <c r="M403" s="16" t="inlineStr">
        <is>
          <t>Movie Rating (Round 2)</t>
        </is>
      </c>
    </row>
    <row r="404">
      <c r="C404" s="16" t="inlineStr">
        <is>
          <t>LeetCode</t>
        </is>
      </c>
      <c r="E404" s="16" t="inlineStr">
        <is>
          <t>Medium</t>
        </is>
      </c>
      <c r="H404" s="21">
        <f>IF(G404=TRUE,IF(H404="",TODAY(),H404),"")</f>
        <v/>
      </c>
      <c r="K404" s="16" t="inlineStr">
        <is>
          <t>Array, Dynamic Programming</t>
        </is>
      </c>
      <c r="L404" s="16" t="inlineStr">
        <is>
          <t>count-submatrices-with-all-ones</t>
        </is>
      </c>
    </row>
    <row r="405">
      <c r="C405" s="16" t="inlineStr">
        <is>
          <t>LeetCode</t>
        </is>
      </c>
      <c r="E405" s="16" t="inlineStr">
        <is>
          <t>Hard</t>
        </is>
      </c>
      <c r="H405" s="21">
        <f>IF(G405=TRUE,IF(H405="",TODAY(),H405),"")</f>
        <v/>
      </c>
      <c r="K405" s="16" t="inlineStr">
        <is>
          <t>Depth-First Search, Breadth-First Search</t>
        </is>
      </c>
      <c r="L405" s="16" t="inlineStr">
        <is>
          <t>longest-cycle-in-a-graph</t>
        </is>
      </c>
    </row>
    <row r="406">
      <c r="C406" s="16" t="inlineStr">
        <is>
          <t>SQL</t>
        </is>
      </c>
      <c r="E406" s="16" t="inlineStr">
        <is>
          <t>Medium</t>
        </is>
      </c>
      <c r="H406" s="21">
        <f>IF(G406=TRUE,IF(H406="",TODAY(),H406),"")</f>
        <v/>
      </c>
      <c r="K406" s="16" t="inlineStr">
        <is>
          <t>SQL</t>
        </is>
      </c>
      <c r="L406" s="16" t="inlineStr">
        <is>
          <t>friend-requests-ii-who-has-the-most-friends</t>
        </is>
      </c>
      <c r="M406" s="16" t="inlineStr">
        <is>
          <t>Friend Requests II: Who Has the Most Friends (Round 2)</t>
        </is>
      </c>
    </row>
    <row r="407">
      <c r="C407" s="16" t="inlineStr">
        <is>
          <t>LeetCode</t>
        </is>
      </c>
      <c r="E407" s="16" t="inlineStr">
        <is>
          <t>Medium</t>
        </is>
      </c>
      <c r="H407" s="21">
        <f>IF(G407=TRUE,IF(H407="",TODAY(),H407),"")</f>
        <v/>
      </c>
      <c r="K407" s="16" t="inlineStr">
        <is>
          <t>Array, Simulation</t>
        </is>
      </c>
      <c r="L407" s="16" t="inlineStr">
        <is>
          <t>watering-plants</t>
        </is>
      </c>
    </row>
    <row r="408">
      <c r="C408" s="16" t="inlineStr">
        <is>
          <t>LeetCode</t>
        </is>
      </c>
      <c r="E408" s="16" t="inlineStr">
        <is>
          <t>Medium</t>
        </is>
      </c>
      <c r="H408" s="21">
        <f>IF(G408=TRUE,IF(H408="",TODAY(),H408),"")</f>
        <v/>
      </c>
      <c r="K408" s="16" t="inlineStr">
        <is>
          <t>Hash Table, String</t>
        </is>
      </c>
      <c r="L408" s="16" t="inlineStr">
        <is>
          <t>longest-ideal-subsequence</t>
        </is>
      </c>
    </row>
    <row r="409">
      <c r="C409" s="16" t="inlineStr">
        <is>
          <t>SQL</t>
        </is>
      </c>
      <c r="E409" s="16" t="inlineStr">
        <is>
          <t>Medium</t>
        </is>
      </c>
      <c r="H409" s="21">
        <f>IF(G409=TRUE,IF(H409="",TODAY(),H409),"")</f>
        <v/>
      </c>
      <c r="K409" s="16" t="inlineStr">
        <is>
          <t>SQL</t>
        </is>
      </c>
      <c r="L409" s="16" t="inlineStr">
        <is>
          <t>investments-in-2016</t>
        </is>
      </c>
      <c r="M409" s="16" t="inlineStr">
        <is>
          <t>Investments in 2016 (Round 2)</t>
        </is>
      </c>
    </row>
    <row r="410">
      <c r="C410" s="16" t="inlineStr">
        <is>
          <t>LeetCode</t>
        </is>
      </c>
      <c r="E410" s="16" t="inlineStr">
        <is>
          <t>Medium</t>
        </is>
      </c>
      <c r="H410" s="21">
        <f>IF(G410=TRUE,IF(H410="",TODAY(),H410),"")</f>
        <v/>
      </c>
      <c r="K410" s="16" t="inlineStr">
        <is>
          <t>Array, Binary Search</t>
        </is>
      </c>
      <c r="L410" s="16" t="inlineStr">
        <is>
          <t>minimized-maximum-of-products-distributed-to-any-store</t>
        </is>
      </c>
    </row>
    <row r="411">
      <c r="C411" s="16" t="inlineStr">
        <is>
          <t>LeetCode</t>
        </is>
      </c>
      <c r="E411" s="16" t="inlineStr">
        <is>
          <t>Medium</t>
        </is>
      </c>
      <c r="H411" s="21">
        <f>IF(G411=TRUE,IF(H411="",TODAY(),H411),"")</f>
        <v/>
      </c>
      <c r="K411" s="16" t="inlineStr">
        <is>
          <t>Math, String</t>
        </is>
      </c>
      <c r="L411" s="16" t="inlineStr">
        <is>
          <t>basic-calculator-ii</t>
        </is>
      </c>
      <c r="M411" s="16" t="inlineStr">
        <is>
          <t>Basic Calculator II</t>
        </is>
      </c>
    </row>
    <row r="412">
      <c r="C412" s="16" t="inlineStr">
        <is>
          <t>SQL</t>
        </is>
      </c>
      <c r="E412" s="16" t="inlineStr">
        <is>
          <t>Medium</t>
        </is>
      </c>
      <c r="H412" s="21">
        <f>IF(G412=TRUE,IF(H412="",TODAY(),H412),"")</f>
        <v/>
      </c>
      <c r="K412" s="16" t="inlineStr">
        <is>
          <t>SQL</t>
        </is>
      </c>
      <c r="L412" s="16" t="inlineStr">
        <is>
          <t>capital-gainloss</t>
        </is>
      </c>
      <c r="M412" s="16" t="inlineStr">
        <is>
          <t>Capital Gain/Loss (Round 2)</t>
        </is>
      </c>
    </row>
    <row r="413">
      <c r="C413" s="16" t="inlineStr">
        <is>
          <t>LeetCode</t>
        </is>
      </c>
      <c r="E413" s="16" t="inlineStr">
        <is>
          <t>Medium</t>
        </is>
      </c>
      <c r="H413" s="21">
        <f>IF(G413=TRUE,IF(H413="",TODAY(),H413),"")</f>
        <v/>
      </c>
      <c r="K413" s="16" t="inlineStr">
        <is>
          <t>Array</t>
        </is>
      </c>
      <c r="L413" s="16" t="inlineStr">
        <is>
          <t>partition-array-into-disjoint-intervals</t>
        </is>
      </c>
    </row>
    <row r="414">
      <c r="C414" s="16" t="inlineStr">
        <is>
          <t>LeetCode</t>
        </is>
      </c>
      <c r="E414" s="16" t="inlineStr">
        <is>
          <t>Hard</t>
        </is>
      </c>
      <c r="H414" s="21">
        <f>IF(G414=TRUE,IF(H414="",TODAY(),H414),"")</f>
        <v/>
      </c>
      <c r="K414" s="16" t="inlineStr">
        <is>
          <t>Math, Binary Search</t>
        </is>
      </c>
      <c r="L414" s="16" t="inlineStr">
        <is>
          <t>kth-smallest-number-in-multiplication-table</t>
        </is>
      </c>
    </row>
    <row r="415">
      <c r="C415" s="16" t="inlineStr">
        <is>
          <t>SQL</t>
        </is>
      </c>
      <c r="E415" s="16" t="inlineStr">
        <is>
          <t>Medium</t>
        </is>
      </c>
      <c r="H415" s="21">
        <f>IF(G415=TRUE,IF(H415="",TODAY(),H415),"")</f>
        <v/>
      </c>
      <c r="K415" s="16" t="inlineStr">
        <is>
          <t>SQL</t>
        </is>
      </c>
      <c r="L415" s="16" t="inlineStr">
        <is>
          <t>product-sales-analysis-iii</t>
        </is>
      </c>
      <c r="M415" s="16" t="inlineStr">
        <is>
          <t>Product Sales Analysis III (Round 2)</t>
        </is>
      </c>
    </row>
    <row r="416">
      <c r="C416" s="16" t="inlineStr">
        <is>
          <t>LeetCode</t>
        </is>
      </c>
      <c r="E416" s="16" t="inlineStr">
        <is>
          <t>Medium</t>
        </is>
      </c>
      <c r="H416" s="21">
        <f>IF(G416=TRUE,IF(H416="",TODAY(),H416),"")</f>
        <v/>
      </c>
      <c r="K416" s="16" t="inlineStr">
        <is>
          <t>Array, Greedy</t>
        </is>
      </c>
      <c r="L416" s="16" t="inlineStr">
        <is>
          <t>minimum-swaps-to-arrange-a-binary-grid</t>
        </is>
      </c>
    </row>
    <row r="417">
      <c r="C417" s="16" t="inlineStr">
        <is>
          <t>LeetCode</t>
        </is>
      </c>
      <c r="E417" s="16" t="inlineStr">
        <is>
          <t>Medium</t>
        </is>
      </c>
      <c r="H417" s="21">
        <f>IF(G417=TRUE,IF(H417="",TODAY(),H417),"")</f>
        <v/>
      </c>
      <c r="K417" s="16" t="inlineStr">
        <is>
          <t>Array, Hash Table</t>
        </is>
      </c>
      <c r="L417" s="16" t="inlineStr">
        <is>
          <t>find-two-non-overlapping-sub-arrays-each-with-target-sum</t>
        </is>
      </c>
    </row>
    <row r="418">
      <c r="C418" s="16" t="inlineStr">
        <is>
          <t>SQL</t>
        </is>
      </c>
      <c r="E418" s="16" t="inlineStr">
        <is>
          <t>Medium</t>
        </is>
      </c>
      <c r="H418" s="21">
        <f>IF(G418=TRUE,IF(H418="",TODAY(),H418),"")</f>
        <v/>
      </c>
      <c r="K418" s="16" t="inlineStr">
        <is>
          <t>SQL</t>
        </is>
      </c>
      <c r="L418" s="16" t="inlineStr">
        <is>
          <t>count-salary-categories</t>
        </is>
      </c>
      <c r="M418" s="16" t="inlineStr">
        <is>
          <t>Count Salary Categories (Round 2)</t>
        </is>
      </c>
    </row>
    <row r="419">
      <c r="C419" s="16" t="inlineStr">
        <is>
          <t>LeetCode</t>
        </is>
      </c>
      <c r="E419" s="16" t="inlineStr">
        <is>
          <t>Medium</t>
        </is>
      </c>
      <c r="H419" s="21">
        <f>IF(G419=TRUE,IF(H419="",TODAY(),H419),"")</f>
        <v/>
      </c>
      <c r="K419" s="16" t="inlineStr">
        <is>
          <t>Array, Matrix</t>
        </is>
      </c>
      <c r="L419" s="16" t="inlineStr">
        <is>
          <t>count-unguarded-cells-in-the-grid</t>
        </is>
      </c>
    </row>
    <row r="420">
      <c r="C420" s="16" t="inlineStr">
        <is>
          <t>LeetCode</t>
        </is>
      </c>
      <c r="E420" s="16" t="inlineStr">
        <is>
          <t>Hard</t>
        </is>
      </c>
      <c r="H420" s="21">
        <f>IF(G420=TRUE,IF(H420="",TODAY(),H420),"")</f>
        <v/>
      </c>
      <c r="K420" s="16" t="inlineStr">
        <is>
          <t>Array, Hash Table</t>
        </is>
      </c>
      <c r="L420" s="16" t="inlineStr">
        <is>
          <t>largest-component-size-by-common-factor</t>
        </is>
      </c>
    </row>
    <row r="421">
      <c r="C421" s="16" t="inlineStr">
        <is>
          <t>SQL</t>
        </is>
      </c>
      <c r="E421" s="16" t="inlineStr">
        <is>
          <t>Medium</t>
        </is>
      </c>
      <c r="H421" s="21">
        <f>IF(G421=TRUE,IF(H421="",TODAY(),H421),"")</f>
        <v/>
      </c>
      <c r="K421" s="16" t="inlineStr">
        <is>
          <t>SQL</t>
        </is>
      </c>
      <c r="L421" s="16" t="inlineStr">
        <is>
          <t>market-analysis-i</t>
        </is>
      </c>
      <c r="M421" s="16" t="inlineStr">
        <is>
          <t>Market Analysis I (Round 2)</t>
        </is>
      </c>
    </row>
    <row r="422">
      <c r="C422" s="16" t="inlineStr">
        <is>
          <t>Codeforces</t>
        </is>
      </c>
      <c r="E422" s="16" t="inlineStr">
        <is>
          <t>CF 1500</t>
        </is>
      </c>
      <c r="H422" s="21">
        <f>IF(G422=TRUE,IF(H422="",TODAY(),H422),"")</f>
        <v/>
      </c>
      <c r="K422" s="16" t="inlineStr">
        <is>
          <t>dp</t>
        </is>
      </c>
      <c r="L422" s="16" t="inlineStr">
        <is>
          <t>https://codeforces.com/problemset?order=BY_SOLVED_DESC&amp;tags=dp,1500-1500</t>
        </is>
      </c>
      <c r="M422" s="16" t="inlineStr">
        <is>
          <t>Most-solved unsolved: dp · 1500</t>
        </is>
      </c>
    </row>
    <row r="423">
      <c r="C423" s="16" t="inlineStr">
        <is>
          <t>Codeforces</t>
        </is>
      </c>
      <c r="E423" s="16" t="inlineStr">
        <is>
          <t>CF 1600</t>
        </is>
      </c>
      <c r="H423" s="21">
        <f>IF(G423=TRUE,IF(H423="",TODAY(),H423),"")</f>
        <v/>
      </c>
      <c r="K423" s="16" t="inlineStr">
        <is>
          <t>graphs</t>
        </is>
      </c>
      <c r="L423" s="16" t="inlineStr">
        <is>
          <t>https://codeforces.com/problemset?order=BY_SOLVED_DESC&amp;tags=graphs,1600-1600</t>
        </is>
      </c>
      <c r="M423" s="16" t="inlineStr">
        <is>
          <t>Most-solved unsolved: graphs · 1600</t>
        </is>
      </c>
    </row>
    <row r="424">
      <c r="C424" s="16" t="inlineStr">
        <is>
          <t>LeetCode</t>
        </is>
      </c>
      <c r="E424" s="16" t="inlineStr">
        <is>
          <t>Hard</t>
        </is>
      </c>
      <c r="H424" s="21">
        <f>IF(G424=TRUE,IF(H424="",TODAY(),H424),"")</f>
        <v/>
      </c>
      <c r="K424" s="16" t="inlineStr">
        <is>
          <t>Array, Depth-First Search</t>
        </is>
      </c>
      <c r="L424" s="16" t="inlineStr">
        <is>
          <t>making-a-large-island</t>
        </is>
      </c>
    </row>
    <row r="425">
      <c r="C425" s="16" t="inlineStr">
        <is>
          <t>LeetCode</t>
        </is>
      </c>
      <c r="E425" s="16" t="inlineStr">
        <is>
          <t>Hard</t>
        </is>
      </c>
      <c r="H425" s="21">
        <f>IF(G425=TRUE,IF(H425="",TODAY(),H425),"")</f>
        <v/>
      </c>
      <c r="K425" s="16" t="inlineStr">
        <is>
          <t>Array, Two Pointers</t>
        </is>
      </c>
      <c r="L425" s="16" t="inlineStr">
        <is>
          <t>find-k-th-smallest-pair-distance</t>
        </is>
      </c>
    </row>
    <row r="426">
      <c r="C426" s="16" t="inlineStr">
        <is>
          <t>SQL</t>
        </is>
      </c>
      <c r="E426" s="16" t="inlineStr">
        <is>
          <t>Medium</t>
        </is>
      </c>
      <c r="H426" s="21">
        <f>IF(G426=TRUE,IF(H426="",TODAY(),H426),"")</f>
        <v/>
      </c>
      <c r="K426" s="16" t="inlineStr">
        <is>
          <t>SQL</t>
        </is>
      </c>
      <c r="L426" s="16" t="inlineStr">
        <is>
          <t>find-students-who-improved</t>
        </is>
      </c>
      <c r="M426" s="16" t="inlineStr">
        <is>
          <t>Find Students Who Improved (Round 2)</t>
        </is>
      </c>
    </row>
    <row r="427">
      <c r="C427" s="16" t="inlineStr">
        <is>
          <t>LeetCode</t>
        </is>
      </c>
      <c r="E427" s="16" t="inlineStr">
        <is>
          <t>Hard</t>
        </is>
      </c>
      <c r="H427" s="21">
        <f>IF(G427=TRUE,IF(H427="",TODAY(),H427),"")</f>
        <v/>
      </c>
      <c r="K427" s="16" t="inlineStr">
        <is>
          <t>Array, Greedy</t>
        </is>
      </c>
      <c r="L427" s="16" t="inlineStr">
        <is>
          <t>patching-array</t>
        </is>
      </c>
    </row>
    <row r="428">
      <c r="C428" s="16" t="inlineStr">
        <is>
          <t>LeetCode</t>
        </is>
      </c>
      <c r="E428" s="16" t="inlineStr">
        <is>
          <t>Medium</t>
        </is>
      </c>
      <c r="H428" s="21">
        <f>IF(G428=TRUE,IF(H428="",TODAY(),H428),"")</f>
        <v/>
      </c>
      <c r="K428" s="16" t="inlineStr">
        <is>
          <t>Bit Manipulation, Tree</t>
        </is>
      </c>
      <c r="L428" s="16" t="inlineStr">
        <is>
          <t>pseudo-palindromic-paths-in-a-binary-tree</t>
        </is>
      </c>
    </row>
    <row r="429">
      <c r="C429" s="16" t="inlineStr">
        <is>
          <t>SQL</t>
        </is>
      </c>
      <c r="E429" s="16" t="inlineStr">
        <is>
          <t>Medium</t>
        </is>
      </c>
      <c r="H429" s="21">
        <f>IF(G429=TRUE,IF(H429="",TODAY(),H429),"")</f>
        <v/>
      </c>
      <c r="K429" s="16" t="inlineStr">
        <is>
          <t>SQL</t>
        </is>
      </c>
      <c r="L429" s="16" t="inlineStr">
        <is>
          <t>find-product-recommendation-pairs</t>
        </is>
      </c>
      <c r="M429" s="16" t="inlineStr">
        <is>
          <t>Find Product Recommendation Pairs (Round 2)</t>
        </is>
      </c>
    </row>
    <row r="430">
      <c r="C430" s="16" t="inlineStr">
        <is>
          <t>LeetCode</t>
        </is>
      </c>
      <c r="E430" s="16" t="inlineStr">
        <is>
          <t>Medium</t>
        </is>
      </c>
      <c r="H430" s="21">
        <f>IF(G430=TRUE,IF(H430="",TODAY(),H430),"")</f>
        <v/>
      </c>
      <c r="K430" s="16" t="inlineStr">
        <is>
          <t>Array, Linked List</t>
        </is>
      </c>
      <c r="L430" s="16" t="inlineStr">
        <is>
          <t>design-circular-deque</t>
        </is>
      </c>
    </row>
    <row r="431">
      <c r="C431" s="16" t="inlineStr">
        <is>
          <t>LeetCode</t>
        </is>
      </c>
      <c r="E431" s="16" t="inlineStr">
        <is>
          <t>Hard</t>
        </is>
      </c>
      <c r="H431" s="21">
        <f>IF(G431=TRUE,IF(H431="",TODAY(),H431),"")</f>
        <v/>
      </c>
      <c r="K431" s="16" t="inlineStr">
        <is>
          <t>Array, Bit Manipulation</t>
        </is>
      </c>
      <c r="L431" s="16" t="inlineStr">
        <is>
          <t>minimum-score-after-removals-on-a-tree</t>
        </is>
      </c>
    </row>
    <row r="432">
      <c r="C432" s="16" t="inlineStr">
        <is>
          <t>SQL</t>
        </is>
      </c>
      <c r="E432" s="16" t="inlineStr">
        <is>
          <t>Medium</t>
        </is>
      </c>
      <c r="H432" s="21">
        <f>IF(G432=TRUE,IF(H432="",TODAY(),H432),"")</f>
        <v/>
      </c>
      <c r="K432" s="16" t="inlineStr">
        <is>
          <t>SQL</t>
        </is>
      </c>
      <c r="L432" s="16" t="inlineStr">
        <is>
          <t>seasonal-sales-analysis</t>
        </is>
      </c>
      <c r="M432" s="16" t="inlineStr">
        <is>
          <t>Seasonal Sales Analysis (Round 2)</t>
        </is>
      </c>
    </row>
    <row r="433">
      <c r="C433" s="16" t="inlineStr">
        <is>
          <t>LeetCode</t>
        </is>
      </c>
      <c r="E433" s="16" t="inlineStr">
        <is>
          <t>Hard</t>
        </is>
      </c>
      <c r="H433" s="21">
        <f>IF(G433=TRUE,IF(H433="",TODAY(),H433),"")</f>
        <v/>
      </c>
      <c r="K433" s="16" t="inlineStr">
        <is>
          <t>Dynamic Programming, Tree</t>
        </is>
      </c>
      <c r="L433" s="16" t="inlineStr">
        <is>
          <t>sum-of-distances-in-tree</t>
        </is>
      </c>
    </row>
    <row r="434">
      <c r="C434" s="16" t="inlineStr">
        <is>
          <t>LeetCode</t>
        </is>
      </c>
      <c r="E434" s="16" t="inlineStr">
        <is>
          <t>Medium</t>
        </is>
      </c>
      <c r="H434" s="21">
        <f>IF(G434=TRUE,IF(H434="",TODAY(),H434),"")</f>
        <v/>
      </c>
      <c r="K434" s="16" t="inlineStr">
        <is>
          <t>Hash Table, String</t>
        </is>
      </c>
      <c r="L434" s="16" t="inlineStr">
        <is>
          <t>determine-if-two-strings-are-close</t>
        </is>
      </c>
    </row>
    <row r="435">
      <c r="C435" s="16" t="inlineStr">
        <is>
          <t>SQL</t>
        </is>
      </c>
      <c r="E435" s="16" t="inlineStr">
        <is>
          <t>Medium</t>
        </is>
      </c>
      <c r="H435" s="21">
        <f>IF(G435=TRUE,IF(H435="",TODAY(),H435),"")</f>
        <v/>
      </c>
      <c r="K435" s="16" t="inlineStr">
        <is>
          <t>SQL</t>
        </is>
      </c>
      <c r="L435" s="16" t="inlineStr">
        <is>
          <t>analyze-subscription-conversion</t>
        </is>
      </c>
      <c r="M435" s="16" t="inlineStr">
        <is>
          <t>Analyze Subscription Conversion  (Round 2)</t>
        </is>
      </c>
    </row>
    <row r="436">
      <c r="C436" s="16" t="inlineStr">
        <is>
          <t>LeetCode</t>
        </is>
      </c>
      <c r="E436" s="16" t="inlineStr">
        <is>
          <t>Medium</t>
        </is>
      </c>
      <c r="H436" s="21">
        <f>IF(G436=TRUE,IF(H436="",TODAY(),H436),"")</f>
        <v/>
      </c>
      <c r="K436" s="16" t="inlineStr">
        <is>
          <t>Array, Two Pointers</t>
        </is>
      </c>
      <c r="L436" s="16" t="inlineStr">
        <is>
          <t>k-th-smallest-prime-fraction</t>
        </is>
      </c>
    </row>
    <row r="437">
      <c r="C437" s="16" t="inlineStr">
        <is>
          <t>LeetCode</t>
        </is>
      </c>
      <c r="E437" s="16" t="inlineStr">
        <is>
          <t>Hard</t>
        </is>
      </c>
      <c r="H437" s="21">
        <f>IF(G437=TRUE,IF(H437="",TODAY(),H437),"")</f>
        <v/>
      </c>
      <c r="K437" s="16" t="inlineStr">
        <is>
          <t>Array, Binary Search</t>
        </is>
      </c>
      <c r="L437" s="16" t="inlineStr">
        <is>
          <t>minimum-cost-to-make-array-equal</t>
        </is>
      </c>
    </row>
    <row r="438">
      <c r="C438" s="16" t="inlineStr">
        <is>
          <t>SQL</t>
        </is>
      </c>
      <c r="E438" s="16" t="inlineStr">
        <is>
          <t>Medium</t>
        </is>
      </c>
      <c r="H438" s="21">
        <f>IF(G438=TRUE,IF(H438="",TODAY(),H438),"")</f>
        <v/>
      </c>
      <c r="K438" s="16" t="inlineStr">
        <is>
          <t>SQL</t>
        </is>
      </c>
      <c r="L438" s="16" t="inlineStr">
        <is>
          <t>odd-and-even-transactions</t>
        </is>
      </c>
      <c r="M438" s="16" t="inlineStr">
        <is>
          <t>Odd and Even Transactions (Round 2)</t>
        </is>
      </c>
    </row>
    <row r="439">
      <c r="C439" s="16" t="inlineStr">
        <is>
          <t>LeetCode</t>
        </is>
      </c>
      <c r="E439" s="16" t="inlineStr">
        <is>
          <t>Hard</t>
        </is>
      </c>
      <c r="H439" s="21">
        <f>IF(G439=TRUE,IF(H439="",TODAY(),H439),"")</f>
        <v/>
      </c>
      <c r="K439" s="16" t="inlineStr">
        <is>
          <t>Array, Hash Table</t>
        </is>
      </c>
      <c r="L439" s="16" t="inlineStr">
        <is>
          <t>insert-delete-getrandom-o1-duplicates-allowed</t>
        </is>
      </c>
    </row>
    <row r="440">
      <c r="C440" s="16" t="inlineStr">
        <is>
          <t>LeetCode</t>
        </is>
      </c>
      <c r="E440" s="16" t="inlineStr">
        <is>
          <t>Medium</t>
        </is>
      </c>
      <c r="H440" s="21">
        <f>IF(G440=TRUE,IF(H440="",TODAY(),H440),"")</f>
        <v/>
      </c>
      <c r="K440" s="16" t="inlineStr">
        <is>
          <t>Array, Hash Table</t>
        </is>
      </c>
      <c r="L440" s="16" t="inlineStr">
        <is>
          <t>find-original-array-from-doubled-array</t>
        </is>
      </c>
    </row>
    <row r="441">
      <c r="C441" s="16" t="inlineStr">
        <is>
          <t>SQL</t>
        </is>
      </c>
      <c r="E441" s="16" t="inlineStr">
        <is>
          <t>Medium</t>
        </is>
      </c>
      <c r="H441" s="21">
        <f>IF(G441=TRUE,IF(H441="",TODAY(),H441),"")</f>
        <v/>
      </c>
      <c r="K441" s="16" t="inlineStr">
        <is>
          <t>SQL</t>
        </is>
      </c>
      <c r="L441" s="16" t="inlineStr">
        <is>
          <t>find-covid-recovery-patients</t>
        </is>
      </c>
      <c r="M441" s="16" t="inlineStr">
        <is>
          <t>Find COVID Recovery Patients (Round 2)</t>
        </is>
      </c>
    </row>
    <row r="442">
      <c r="C442" s="16" t="inlineStr">
        <is>
          <t>LeetCode</t>
        </is>
      </c>
      <c r="E442" s="16" t="inlineStr">
        <is>
          <t>Medium</t>
        </is>
      </c>
      <c r="H442" s="21">
        <f>IF(G442=TRUE,IF(H442="",TODAY(),H442),"")</f>
        <v/>
      </c>
      <c r="K442" s="16" t="inlineStr">
        <is>
          <t>Array, Hash Table</t>
        </is>
      </c>
      <c r="L442" s="16" t="inlineStr">
        <is>
          <t>design-a-food-rating-system</t>
        </is>
      </c>
    </row>
    <row r="443">
      <c r="C443" s="16" t="inlineStr">
        <is>
          <t>LeetCode</t>
        </is>
      </c>
      <c r="E443" s="16" t="inlineStr">
        <is>
          <t>Medium</t>
        </is>
      </c>
      <c r="H443" s="21">
        <f>IF(G443=TRUE,IF(H443="",TODAY(),H443),"")</f>
        <v/>
      </c>
      <c r="K443" s="16" t="inlineStr">
        <is>
          <t>Two Pointers, String</t>
        </is>
      </c>
      <c r="L443" s="16" t="inlineStr">
        <is>
          <t>move-pieces-to-obtain-a-string</t>
        </is>
      </c>
    </row>
    <row r="444">
      <c r="C444" s="16" t="inlineStr">
        <is>
          <t>SQL</t>
        </is>
      </c>
      <c r="E444" s="16" t="inlineStr">
        <is>
          <t>Medium</t>
        </is>
      </c>
      <c r="H444" s="21">
        <f>IF(G444=TRUE,IF(H444="",TODAY(),H444),"")</f>
        <v/>
      </c>
      <c r="K444" s="16" t="inlineStr">
        <is>
          <t>SQL</t>
        </is>
      </c>
      <c r="L444" s="16" t="inlineStr">
        <is>
          <t>dna-pattern-recognition</t>
        </is>
      </c>
      <c r="M444" s="16" t="inlineStr">
        <is>
          <t>DNA Pattern Recognition  (Round 2)</t>
        </is>
      </c>
    </row>
    <row r="445">
      <c r="C445" s="16" t="inlineStr">
        <is>
          <t>Codeforces</t>
        </is>
      </c>
      <c r="E445" s="16" t="inlineStr">
        <is>
          <t>CF 1700</t>
        </is>
      </c>
      <c r="H445" s="21">
        <f>IF(G445=TRUE,IF(H445="",TODAY(),H445),"")</f>
        <v/>
      </c>
      <c r="K445" s="16" t="inlineStr">
        <is>
          <t>number theory</t>
        </is>
      </c>
      <c r="L445" s="16" t="inlineStr">
        <is>
          <t>https://codeforces.com/problemset?order=BY_SOLVED_DESC&amp;tags=number%20theory,1700-1700</t>
        </is>
      </c>
      <c r="M445" s="16" t="inlineStr">
        <is>
          <t>Most-solved unsolved: number theory · 1700</t>
        </is>
      </c>
    </row>
    <row r="446">
      <c r="C446" s="16" t="inlineStr">
        <is>
          <t>Codeforces</t>
        </is>
      </c>
      <c r="E446" s="16" t="inlineStr">
        <is>
          <t>CF 1500</t>
        </is>
      </c>
      <c r="H446" s="21">
        <f>IF(G446=TRUE,IF(H446="",TODAY(),H446),"")</f>
        <v/>
      </c>
      <c r="K446" s="16" t="inlineStr">
        <is>
          <t>bitmasks</t>
        </is>
      </c>
      <c r="L446" s="16" t="inlineStr">
        <is>
          <t>https://codeforces.com/problemset?order=BY_SOLVED_DESC&amp;tags=bitmasks,1500-1500</t>
        </is>
      </c>
      <c r="M446" s="16" t="inlineStr">
        <is>
          <t>Most-solved unsolved: bitmasks · 1500</t>
        </is>
      </c>
    </row>
    <row r="447">
      <c r="C447" s="16" t="inlineStr">
        <is>
          <t>LeetCode</t>
        </is>
      </c>
      <c r="E447" s="16" t="inlineStr">
        <is>
          <t>Hard</t>
        </is>
      </c>
      <c r="H447" s="21">
        <f>IF(G447=TRUE,IF(H447="",TODAY(),H447),"")</f>
        <v/>
      </c>
      <c r="K447" s="16" t="inlineStr">
        <is>
          <t>Array, Hash Table</t>
        </is>
      </c>
      <c r="L447" s="16" t="inlineStr">
        <is>
          <t>bus-routes</t>
        </is>
      </c>
    </row>
    <row r="448">
      <c r="C448" s="16" t="inlineStr">
        <is>
          <t>LeetCode</t>
        </is>
      </c>
      <c r="E448" s="16" t="inlineStr">
        <is>
          <t>Hard</t>
        </is>
      </c>
      <c r="H448" s="21">
        <f>IF(G448=TRUE,IF(H448="",TODAY(),H448),"")</f>
        <v/>
      </c>
      <c r="K448" s="16" t="inlineStr">
        <is>
          <t>Array, Greedy</t>
        </is>
      </c>
      <c r="L448" s="16" t="inlineStr">
        <is>
          <t>course-schedule-iii</t>
        </is>
      </c>
      <c r="M448" s="16" t="inlineStr">
        <is>
          <t>Course Schedule III</t>
        </is>
      </c>
    </row>
    <row r="449">
      <c r="C449" s="16" t="inlineStr">
        <is>
          <t>SQL</t>
        </is>
      </c>
      <c r="E449" s="16" t="inlineStr">
        <is>
          <t>Medium</t>
        </is>
      </c>
      <c r="H449" s="21">
        <f>IF(G449=TRUE,IF(H449="",TODAY(),H449),"")</f>
        <v/>
      </c>
      <c r="K449" s="16" t="inlineStr">
        <is>
          <t>SQL</t>
        </is>
      </c>
      <c r="L449" s="16" t="inlineStr">
        <is>
          <t>find-consistently-improving-employees</t>
        </is>
      </c>
      <c r="M449" s="16" t="inlineStr">
        <is>
          <t>Find Consistently Improving Employees (Round 2)</t>
        </is>
      </c>
    </row>
    <row r="450">
      <c r="C450" s="16" t="inlineStr">
        <is>
          <t>LeetCode</t>
        </is>
      </c>
      <c r="E450" s="16" t="inlineStr">
        <is>
          <t>Medium</t>
        </is>
      </c>
      <c r="H450" s="21">
        <f>IF(G450=TRUE,IF(H450="",TODAY(),H450),"")</f>
        <v/>
      </c>
      <c r="K450" s="16" t="inlineStr">
        <is>
          <t>Array, Binary Search</t>
        </is>
      </c>
      <c r="L450" s="16" t="inlineStr">
        <is>
          <t>maximum-tastiness-of-candy-basket</t>
        </is>
      </c>
    </row>
    <row r="451">
      <c r="C451" s="16" t="inlineStr">
        <is>
          <t>LeetCode</t>
        </is>
      </c>
      <c r="E451" s="16" t="inlineStr">
        <is>
          <t>Medium</t>
        </is>
      </c>
      <c r="H451" s="21">
        <f>IF(G451=TRUE,IF(H451="",TODAY(),H451),"")</f>
        <v/>
      </c>
      <c r="K451" s="16" t="inlineStr">
        <is>
          <t>Hash Table, String</t>
        </is>
      </c>
      <c r="L451" s="16" t="inlineStr">
        <is>
          <t>implement-magic-dictionary</t>
        </is>
      </c>
    </row>
    <row r="452">
      <c r="C452" s="16" t="inlineStr">
        <is>
          <t>SQL</t>
        </is>
      </c>
      <c r="E452" s="16" t="inlineStr">
        <is>
          <t>Medium</t>
        </is>
      </c>
      <c r="H452" s="21">
        <f>IF(G452=TRUE,IF(H452="",TODAY(),H452),"")</f>
        <v/>
      </c>
      <c r="K452" s="16" t="inlineStr">
        <is>
          <t>SQL</t>
        </is>
      </c>
      <c r="L452" s="16" t="inlineStr">
        <is>
          <t>find-overbooked-employees</t>
        </is>
      </c>
      <c r="M452" s="16" t="inlineStr">
        <is>
          <t>Find Overbooked Employees (Round 2)</t>
        </is>
      </c>
    </row>
    <row r="453">
      <c r="C453" s="16" t="inlineStr">
        <is>
          <t>LeetCode</t>
        </is>
      </c>
      <c r="E453" s="16" t="inlineStr">
        <is>
          <t>Medium</t>
        </is>
      </c>
      <c r="H453" s="21">
        <f>IF(G453=TRUE,IF(H453="",TODAY(),H453),"")</f>
        <v/>
      </c>
      <c r="K453" s="16" t="inlineStr">
        <is>
          <t>Tree, Depth-First Search</t>
        </is>
      </c>
      <c r="L453" s="16" t="inlineStr">
        <is>
          <t>lowest-common-ancestor-of-a-binary-tree</t>
        </is>
      </c>
    </row>
    <row r="454">
      <c r="C454" s="16" t="inlineStr">
        <is>
          <t>LeetCode</t>
        </is>
      </c>
      <c r="E454" s="16" t="inlineStr">
        <is>
          <t>Hard</t>
        </is>
      </c>
      <c r="H454" s="21">
        <f>IF(G454=TRUE,IF(H454="",TODAY(),H454),"")</f>
        <v/>
      </c>
      <c r="K454" s="16" t="inlineStr">
        <is>
          <t>Array, Binary Search</t>
        </is>
      </c>
      <c r="L454" s="16" t="inlineStr">
        <is>
          <t>count-of-range-sum</t>
        </is>
      </c>
    </row>
    <row r="455">
      <c r="C455" s="16" t="inlineStr">
        <is>
          <t>SQL</t>
        </is>
      </c>
      <c r="E455" s="16" t="inlineStr">
        <is>
          <t>Medium</t>
        </is>
      </c>
      <c r="H455" s="21">
        <f>IF(G455=TRUE,IF(H455="",TODAY(),H455),"")</f>
        <v/>
      </c>
      <c r="K455" s="16" t="inlineStr">
        <is>
          <t>SQL</t>
        </is>
      </c>
      <c r="L455" s="16" t="inlineStr">
        <is>
          <t>find-drivers-with-improved-fuel-efficiency</t>
        </is>
      </c>
      <c r="M455" s="16" t="inlineStr">
        <is>
          <t>Find Drivers with Improved Fuel Efficiency (Round 2)</t>
        </is>
      </c>
    </row>
    <row r="456">
      <c r="C456" s="16" t="inlineStr">
        <is>
          <t>LeetCode</t>
        </is>
      </c>
      <c r="E456" s="16" t="inlineStr">
        <is>
          <t>Medium</t>
        </is>
      </c>
      <c r="H456" s="21">
        <f>IF(G456=TRUE,IF(H456="",TODAY(),H456),"")</f>
        <v/>
      </c>
      <c r="K456" s="16" t="inlineStr">
        <is>
          <t>Array, Binary Search</t>
        </is>
      </c>
      <c r="L456" s="16" t="inlineStr">
        <is>
          <t>minimum-time-to-repair-cars</t>
        </is>
      </c>
    </row>
    <row r="457">
      <c r="C457" s="16" t="inlineStr">
        <is>
          <t>LeetCode</t>
        </is>
      </c>
      <c r="E457" s="16" t="inlineStr">
        <is>
          <t>Hard</t>
        </is>
      </c>
      <c r="H457" s="21">
        <f>IF(G457=TRUE,IF(H457="",TODAY(),H457),"")</f>
        <v/>
      </c>
      <c r="K457" s="16" t="inlineStr">
        <is>
          <t>Array, Hash Table</t>
        </is>
      </c>
      <c r="L457" s="16" t="inlineStr">
        <is>
          <t>smallest-range-covering-elements-from-k-lists</t>
        </is>
      </c>
    </row>
    <row r="458">
      <c r="C458" s="16" t="inlineStr">
        <is>
          <t>SQL</t>
        </is>
      </c>
      <c r="E458" s="16" t="inlineStr">
        <is>
          <t>Medium</t>
        </is>
      </c>
      <c r="H458" s="21">
        <f>IF(G458=TRUE,IF(H458="",TODAY(),H458),"")</f>
        <v/>
      </c>
      <c r="K458" s="16" t="inlineStr">
        <is>
          <t>SQL</t>
        </is>
      </c>
      <c r="L458" s="16" t="inlineStr">
        <is>
          <t>find-books-with-polarized-opinions</t>
        </is>
      </c>
      <c r="M458" s="16" t="inlineStr">
        <is>
          <t>Find Books with Polarized Opinions (Round 2)</t>
        </is>
      </c>
    </row>
    <row r="459">
      <c r="C459" s="16" t="inlineStr">
        <is>
          <t>LeetCode</t>
        </is>
      </c>
      <c r="E459" s="16" t="inlineStr">
        <is>
          <t>Medium</t>
        </is>
      </c>
      <c r="H459" s="21">
        <f>IF(G459=TRUE,IF(H459="",TODAY(),H459),"")</f>
        <v/>
      </c>
      <c r="K459" s="16" t="inlineStr">
        <is>
          <t>Tree, Depth-First Search</t>
        </is>
      </c>
      <c r="L459" s="16" t="inlineStr">
        <is>
          <t>maximum-level-sum-of-a-binary-tree</t>
        </is>
      </c>
    </row>
    <row r="460">
      <c r="C460" s="16" t="inlineStr">
        <is>
          <t>LeetCode</t>
        </is>
      </c>
      <c r="E460" s="16" t="inlineStr">
        <is>
          <t>Hard</t>
        </is>
      </c>
      <c r="H460" s="21">
        <f>IF(G460=TRUE,IF(H460="",TODAY(),H460),"")</f>
        <v/>
      </c>
      <c r="K460" s="16" t="inlineStr">
        <is>
          <t>Array, Math</t>
        </is>
      </c>
      <c r="L460" s="16" t="inlineStr">
        <is>
          <t>car-fleet-ii</t>
        </is>
      </c>
      <c r="M460" s="16" t="inlineStr">
        <is>
          <t>Car Fleet II</t>
        </is>
      </c>
    </row>
    <row r="461">
      <c r="C461" s="16" t="inlineStr">
        <is>
          <t>SQL</t>
        </is>
      </c>
      <c r="E461" s="16" t="inlineStr">
        <is>
          <t>Medium</t>
        </is>
      </c>
      <c r="H461" s="21">
        <f>IF(G461=TRUE,IF(H461="",TODAY(),H461),"")</f>
        <v/>
      </c>
      <c r="K461" s="16" t="inlineStr">
        <is>
          <t>SQL</t>
        </is>
      </c>
      <c r="L461" s="16" t="inlineStr">
        <is>
          <t>find-stores-with-inventory-imbalance</t>
        </is>
      </c>
      <c r="M461" s="16" t="inlineStr">
        <is>
          <t>Find Stores with Inventory Imbalance (Round 2)</t>
        </is>
      </c>
    </row>
    <row r="462">
      <c r="C462" s="16" t="inlineStr">
        <is>
          <t>LeetCode</t>
        </is>
      </c>
      <c r="E462" s="16" t="inlineStr">
        <is>
          <t>Medium</t>
        </is>
      </c>
      <c r="H462" s="21">
        <f>IF(G462=TRUE,IF(H462="",TODAY(),H462),"")</f>
        <v/>
      </c>
      <c r="K462" s="16" t="inlineStr">
        <is>
          <t>Array, Hash Table</t>
        </is>
      </c>
      <c r="L462" s="16" t="inlineStr">
        <is>
          <t>non-decreasing-subsequences</t>
        </is>
      </c>
    </row>
    <row r="463">
      <c r="C463" s="16" t="inlineStr">
        <is>
          <t>LeetCode</t>
        </is>
      </c>
      <c r="E463" s="16" t="inlineStr">
        <is>
          <t>Medium</t>
        </is>
      </c>
      <c r="H463" s="21">
        <f>IF(G463=TRUE,IF(H463="",TODAY(),H463),"")</f>
        <v/>
      </c>
      <c r="K463" s="16" t="inlineStr">
        <is>
          <t>Dynamic Programming, Graph Theory</t>
        </is>
      </c>
      <c r="L463" s="16" t="inlineStr">
        <is>
          <t>find-the-city-with-the-smallest-number-of-neighbors-at-a-threshold-distance</t>
        </is>
      </c>
    </row>
    <row r="464">
      <c r="C464" s="16" t="inlineStr">
        <is>
          <t>SQL</t>
        </is>
      </c>
      <c r="E464" s="16" t="inlineStr">
        <is>
          <t>Medium</t>
        </is>
      </c>
      <c r="H464" s="21">
        <f>IF(G464=TRUE,IF(H464="",TODAY(),H464),"")</f>
        <v/>
      </c>
      <c r="K464" s="16" t="inlineStr">
        <is>
          <t>SQL</t>
        </is>
      </c>
      <c r="L464" s="16" t="inlineStr">
        <is>
          <t>find-loyal-customers</t>
        </is>
      </c>
      <c r="M464" s="16" t="inlineStr">
        <is>
          <t>Find Loyal Customers (Round 2)</t>
        </is>
      </c>
    </row>
    <row r="465">
      <c r="C465" s="16" t="inlineStr">
        <is>
          <t>LeetCode</t>
        </is>
      </c>
      <c r="E465" s="16" t="inlineStr">
        <is>
          <t>Hard</t>
        </is>
      </c>
      <c r="H465" s="21">
        <f>IF(G465=TRUE,IF(H465="",TODAY(),H465),"")</f>
        <v/>
      </c>
      <c r="K465" s="16" t="inlineStr">
        <is>
          <t>Array, Math</t>
        </is>
      </c>
      <c r="L465" s="16" t="inlineStr">
        <is>
          <t>three-equal-parts</t>
        </is>
      </c>
    </row>
    <row r="466">
      <c r="C466" s="16" t="inlineStr">
        <is>
          <t>LeetCode</t>
        </is>
      </c>
      <c r="E466" s="16" t="inlineStr">
        <is>
          <t>Hard</t>
        </is>
      </c>
      <c r="H466" s="21">
        <f>IF(G466=TRUE,IF(H466="",TODAY(),H466),"")</f>
        <v/>
      </c>
      <c r="K466" s="16" t="inlineStr">
        <is>
          <t>Hash Table, String</t>
        </is>
      </c>
      <c r="L466" s="16" t="inlineStr">
        <is>
          <t>find-longest-awesome-substring</t>
        </is>
      </c>
    </row>
    <row r="467">
      <c r="C467" s="16" t="inlineStr">
        <is>
          <t>SQL</t>
        </is>
      </c>
      <c r="E467" s="16" t="inlineStr">
        <is>
          <t>Medium</t>
        </is>
      </c>
      <c r="H467" s="21">
        <f>IF(G467=TRUE,IF(H467="",TODAY(),H467),"")</f>
        <v/>
      </c>
      <c r="K467" s="16" t="inlineStr">
        <is>
          <t>SQL</t>
        </is>
      </c>
      <c r="L467" s="16" t="inlineStr">
        <is>
          <t>find-emotionally-consistent-users</t>
        </is>
      </c>
      <c r="M467" s="16" t="inlineStr">
        <is>
          <t>Find Emotionally Consistent Users (Round 2)</t>
        </is>
      </c>
    </row>
    <row r="468">
      <c r="C468" s="16" t="inlineStr">
        <is>
          <t>Codeforces</t>
        </is>
      </c>
      <c r="E468" s="16" t="inlineStr">
        <is>
          <t>CF 1600</t>
        </is>
      </c>
      <c r="H468" s="21">
        <f>IF(G468=TRUE,IF(H468="",TODAY(),H468),"")</f>
        <v/>
      </c>
      <c r="K468" s="16" t="inlineStr">
        <is>
          <t>brute force</t>
        </is>
      </c>
      <c r="L468" s="16" t="inlineStr">
        <is>
          <t>https://codeforces.com/problemset?order=BY_SOLVED_DESC&amp;tags=brute%20force,1600-1600</t>
        </is>
      </c>
      <c r="M468" s="16" t="inlineStr">
        <is>
          <t>Most-solved unsolved: brute force · 1600</t>
        </is>
      </c>
    </row>
    <row r="469">
      <c r="C469" s="16" t="inlineStr">
        <is>
          <t>Codeforces</t>
        </is>
      </c>
      <c r="E469" s="16" t="inlineStr">
        <is>
          <t>CF 1700</t>
        </is>
      </c>
      <c r="H469" s="21">
        <f>IF(G469=TRUE,IF(H469="",TODAY(),H469),"")</f>
        <v/>
      </c>
      <c r="K469" s="16" t="inlineStr">
        <is>
          <t>data structures</t>
        </is>
      </c>
      <c r="L469" s="16" t="inlineStr">
        <is>
          <t>https://codeforces.com/problemset?order=BY_SOLVED_DESC&amp;tags=data%20structures,1700-1700</t>
        </is>
      </c>
      <c r="M469" s="16" t="inlineStr">
        <is>
          <t>Most-solved unsolved: data structures · 1700</t>
        </is>
      </c>
    </row>
    <row r="470">
      <c r="C470" s="16" t="inlineStr">
        <is>
          <t>LeetCode</t>
        </is>
      </c>
      <c r="E470" s="16" t="inlineStr">
        <is>
          <t>Hard</t>
        </is>
      </c>
      <c r="H470" s="21">
        <f>IF(G470=TRUE,IF(H470="",TODAY(),H470),"")</f>
        <v/>
      </c>
      <c r="K470" s="16" t="inlineStr">
        <is>
          <t>Math, Binary Search</t>
        </is>
      </c>
      <c r="L470" s="16" t="inlineStr">
        <is>
          <t>nth-magical-number</t>
        </is>
      </c>
    </row>
    <row r="471">
      <c r="C471" s="16" t="inlineStr">
        <is>
          <t>LeetCode</t>
        </is>
      </c>
      <c r="E471" s="16" t="inlineStr">
        <is>
          <t>Medium</t>
        </is>
      </c>
      <c r="H471" s="21">
        <f>IF(G471=TRUE,IF(H471="",TODAY(),H471),"")</f>
        <v/>
      </c>
      <c r="K471" s="16" t="inlineStr">
        <is>
          <t>Math, Greedy</t>
        </is>
      </c>
      <c r="L471" s="16" t="inlineStr">
        <is>
          <t>broken-calculator</t>
        </is>
      </c>
    </row>
    <row r="472">
      <c r="C472" s="16" t="inlineStr">
        <is>
          <t>SQL</t>
        </is>
      </c>
      <c r="E472" s="16" t="inlineStr">
        <is>
          <t>Medium</t>
        </is>
      </c>
      <c r="H472" s="21">
        <f>IF(G472=TRUE,IF(H472="",TODAY(),H472),"")</f>
        <v/>
      </c>
      <c r="K472" s="16" t="inlineStr">
        <is>
          <t>SQL</t>
        </is>
      </c>
      <c r="L472" s="16" t="inlineStr">
        <is>
          <t>find-golden-hour-customers</t>
        </is>
      </c>
      <c r="M472" s="16" t="inlineStr">
        <is>
          <t>Find Golden Hour Customers (Round 2)</t>
        </is>
      </c>
    </row>
    <row r="473">
      <c r="C473" s="16" t="inlineStr">
        <is>
          <t>LeetCode</t>
        </is>
      </c>
      <c r="E473" s="16" t="inlineStr">
        <is>
          <t>Medium</t>
        </is>
      </c>
      <c r="H473" s="21">
        <f>IF(G473=TRUE,IF(H473="",TODAY(),H473),"")</f>
        <v/>
      </c>
      <c r="K473" s="16" t="inlineStr">
        <is>
          <t>Array, String</t>
        </is>
      </c>
      <c r="L473" s="16" t="inlineStr">
        <is>
          <t>shifting-letters</t>
        </is>
      </c>
    </row>
    <row r="474">
      <c r="C474" s="16" t="inlineStr">
        <is>
          <t>LeetCode</t>
        </is>
      </c>
      <c r="E474" s="16" t="inlineStr">
        <is>
          <t>Hard</t>
        </is>
      </c>
      <c r="H474" s="21">
        <f>IF(G474=TRUE,IF(H474="",TODAY(),H474),"")</f>
        <v/>
      </c>
      <c r="K474" s="16" t="inlineStr">
        <is>
          <t>Array, String</t>
        </is>
      </c>
      <c r="L474" s="16" t="inlineStr">
        <is>
          <t>sum-of-prefix-scores-of-strings</t>
        </is>
      </c>
    </row>
    <row r="475">
      <c r="C475" s="16" t="inlineStr">
        <is>
          <t>SQL</t>
        </is>
      </c>
      <c r="E475" s="16" t="inlineStr">
        <is>
          <t>Medium</t>
        </is>
      </c>
      <c r="H475" s="21">
        <f>IF(G475=TRUE,IF(H475="",TODAY(),H475),"")</f>
        <v/>
      </c>
      <c r="K475" s="16" t="inlineStr">
        <is>
          <t>SQL</t>
        </is>
      </c>
      <c r="L475" s="16" t="inlineStr">
        <is>
          <t>find-churn-risk-customers</t>
        </is>
      </c>
      <c r="M475" s="16" t="inlineStr">
        <is>
          <t>Find Churn Risk Customers (Round 2)</t>
        </is>
      </c>
    </row>
    <row r="476">
      <c r="C476" s="16" t="inlineStr">
        <is>
          <t>LeetCode</t>
        </is>
      </c>
      <c r="E476" s="16" t="inlineStr">
        <is>
          <t>Medium</t>
        </is>
      </c>
      <c r="H476" s="21">
        <f>IF(G476=TRUE,IF(H476="",TODAY(),H476),"")</f>
        <v/>
      </c>
      <c r="K476" s="16" t="inlineStr">
        <is>
          <t>String, Union-Find</t>
        </is>
      </c>
      <c r="L476" s="16" t="inlineStr">
        <is>
          <t>lexicographically-smallest-equivalent-string</t>
        </is>
      </c>
    </row>
    <row r="477">
      <c r="C477" s="16" t="inlineStr">
        <is>
          <t>LeetCode</t>
        </is>
      </c>
      <c r="E477" s="16" t="inlineStr">
        <is>
          <t>Hard</t>
        </is>
      </c>
      <c r="H477" s="21">
        <f>IF(G477=TRUE,IF(H477="",TODAY(),H477),"")</f>
        <v/>
      </c>
      <c r="K477" s="16" t="inlineStr">
        <is>
          <t>String, Dynamic Programming</t>
        </is>
      </c>
      <c r="L477" s="16" t="inlineStr">
        <is>
          <t>wildcard-matching</t>
        </is>
      </c>
    </row>
    <row r="478">
      <c r="C478" s="16" t="inlineStr">
        <is>
          <t>SQL</t>
        </is>
      </c>
      <c r="E478" s="16" t="inlineStr">
        <is>
          <t>Hard</t>
        </is>
      </c>
      <c r="H478" s="21">
        <f>IF(G478=TRUE,IF(H478="",TODAY(),H478),"")</f>
        <v/>
      </c>
      <c r="K478" s="16" t="inlineStr">
        <is>
          <t>SQL</t>
        </is>
      </c>
      <c r="L478" s="16" t="inlineStr">
        <is>
          <t>department-top-three-salaries</t>
        </is>
      </c>
      <c r="M478" s="16" t="inlineStr">
        <is>
          <t>Department Top Three Salaries (Round 2)</t>
        </is>
      </c>
    </row>
    <row r="479">
      <c r="C479" s="16" t="inlineStr">
        <is>
          <t>LeetCode</t>
        </is>
      </c>
      <c r="E479" s="16" t="inlineStr">
        <is>
          <t>Hard</t>
        </is>
      </c>
      <c r="H479" s="21">
        <f>IF(G479=TRUE,IF(H479="",TODAY(),H479),"")</f>
        <v/>
      </c>
      <c r="K479" s="16" t="inlineStr">
        <is>
          <t>Array, Binary Search</t>
        </is>
      </c>
      <c r="L479" s="16" t="inlineStr">
        <is>
          <t>shortest-subarray-with-sum-at-least-k</t>
        </is>
      </c>
    </row>
    <row r="480">
      <c r="C480" s="16" t="inlineStr">
        <is>
          <t>LeetCode</t>
        </is>
      </c>
      <c r="E480" s="16" t="inlineStr">
        <is>
          <t>Medium</t>
        </is>
      </c>
      <c r="H480" s="21">
        <f>IF(G480=TRUE,IF(H480="",TODAY(),H480),"")</f>
        <v/>
      </c>
      <c r="K480" s="16" t="inlineStr">
        <is>
          <t>Tree, Depth-First Search</t>
        </is>
      </c>
      <c r="L480" s="16" t="inlineStr">
        <is>
          <t>distribute-coins-in-binary-tree</t>
        </is>
      </c>
    </row>
    <row r="481">
      <c r="C481" s="16" t="inlineStr">
        <is>
          <t>SQL</t>
        </is>
      </c>
      <c r="E481" s="16" t="inlineStr">
        <is>
          <t>Hard</t>
        </is>
      </c>
      <c r="H481" s="21">
        <f>IF(G481=TRUE,IF(H481="",TODAY(),H481),"")</f>
        <v/>
      </c>
      <c r="K481" s="16" t="inlineStr">
        <is>
          <t>SQL</t>
        </is>
      </c>
      <c r="L481" s="16" t="inlineStr">
        <is>
          <t>trips-and-users</t>
        </is>
      </c>
      <c r="M481" s="16" t="inlineStr">
        <is>
          <t>Trips and Users (Round 2)</t>
        </is>
      </c>
    </row>
    <row r="482">
      <c r="C482" s="16" t="inlineStr">
        <is>
          <t>LeetCode</t>
        </is>
      </c>
      <c r="E482" s="16" t="inlineStr">
        <is>
          <t>Hard</t>
        </is>
      </c>
      <c r="H482" s="21">
        <f>IF(G482=TRUE,IF(H482="",TODAY(),H482),"")</f>
        <v/>
      </c>
      <c r="K482" s="16" t="inlineStr">
        <is>
          <t>Array, Greedy</t>
        </is>
      </c>
      <c r="L482" s="16" t="inlineStr">
        <is>
          <t>put-marbles-in-bags</t>
        </is>
      </c>
    </row>
    <row r="483">
      <c r="C483" s="16" t="inlineStr">
        <is>
          <t>LeetCode</t>
        </is>
      </c>
      <c r="E483" s="16" t="inlineStr">
        <is>
          <t>Hard</t>
        </is>
      </c>
      <c r="H483" s="21">
        <f>IF(G483=TRUE,IF(H483="",TODAY(),H483),"")</f>
        <v/>
      </c>
      <c r="K483" s="16" t="inlineStr">
        <is>
          <t>Array, Hash Table</t>
        </is>
      </c>
      <c r="L483" s="16" t="inlineStr">
        <is>
          <t>minimum-number-of-flips-to-convert-binary-matrix-to-zero-matrix</t>
        </is>
      </c>
    </row>
    <row r="484">
      <c r="C484" s="16" t="inlineStr">
        <is>
          <t>SQL</t>
        </is>
      </c>
      <c r="E484" s="16" t="inlineStr">
        <is>
          <t>Hard</t>
        </is>
      </c>
      <c r="H484" s="21">
        <f>IF(G484=TRUE,IF(H484="",TODAY(),H484),"")</f>
        <v/>
      </c>
      <c r="K484" s="16" t="inlineStr">
        <is>
          <t>SQL</t>
        </is>
      </c>
      <c r="L484" s="16" t="inlineStr">
        <is>
          <t>human-traffic-of-stadium</t>
        </is>
      </c>
      <c r="M484" s="16" t="inlineStr">
        <is>
          <t>Human Traffic of Stadium (Round 2)</t>
        </is>
      </c>
    </row>
    <row r="485">
      <c r="C485" s="16" t="inlineStr">
        <is>
          <t>LeetCode</t>
        </is>
      </c>
      <c r="E485" s="16" t="inlineStr">
        <is>
          <t>Medium</t>
        </is>
      </c>
      <c r="H485" s="21">
        <f>IF(G485=TRUE,IF(H485="",TODAY(),H485),"")</f>
        <v/>
      </c>
      <c r="K485" s="16" t="inlineStr">
        <is>
          <t>String, Bit Manipulation</t>
        </is>
      </c>
      <c r="L485" s="16" t="inlineStr">
        <is>
          <t>number-of-steps-to-reduce-a-number-in-binary-representation-to-one</t>
        </is>
      </c>
    </row>
    <row r="486">
      <c r="C486" s="16" t="inlineStr">
        <is>
          <t>LeetCode</t>
        </is>
      </c>
      <c r="E486" s="16" t="inlineStr">
        <is>
          <t>Medium</t>
        </is>
      </c>
      <c r="H486" s="21">
        <f>IF(G486=TRUE,IF(H486="",TODAY(),H486),"")</f>
        <v/>
      </c>
      <c r="K486" s="16" t="inlineStr">
        <is>
          <t>Array, Greedy</t>
        </is>
      </c>
      <c r="L486" s="16" t="inlineStr">
        <is>
          <t>largest-submatrix-with-rearrangements</t>
        </is>
      </c>
    </row>
    <row r="487">
      <c r="C487" s="16" t="inlineStr">
        <is>
          <t>SQL</t>
        </is>
      </c>
      <c r="E487" s="16" t="inlineStr">
        <is>
          <t>Hard</t>
        </is>
      </c>
      <c r="H487" s="21">
        <f>IF(G487=TRUE,IF(H487="",TODAY(),H487),"")</f>
        <v/>
      </c>
      <c r="K487" s="16" t="inlineStr">
        <is>
          <t>SQL</t>
        </is>
      </c>
      <c r="L487" s="16" t="inlineStr">
        <is>
          <t>analyze-organization-hierarchy</t>
        </is>
      </c>
      <c r="M487" s="16" t="inlineStr">
        <is>
          <t>Analyze Organization Hierarchy (Round 2)</t>
        </is>
      </c>
    </row>
    <row r="488">
      <c r="C488" s="16" t="inlineStr">
        <is>
          <t>LeetCode</t>
        </is>
      </c>
      <c r="E488" s="16" t="inlineStr">
        <is>
          <t>Medium</t>
        </is>
      </c>
      <c r="H488" s="21">
        <f>IF(G488=TRUE,IF(H488="",TODAY(),H488),"")</f>
        <v/>
      </c>
      <c r="K488" s="16" t="inlineStr">
        <is>
          <t>Array, Greedy</t>
        </is>
      </c>
      <c r="L488" s="16" t="inlineStr">
        <is>
          <t>furthest-building-you-can-reach</t>
        </is>
      </c>
    </row>
    <row r="489">
      <c r="C489" s="16" t="inlineStr">
        <is>
          <t>LeetCode</t>
        </is>
      </c>
      <c r="E489" s="16" t="inlineStr">
        <is>
          <t>Hard</t>
        </is>
      </c>
      <c r="H489" s="21">
        <f>IF(G489=TRUE,IF(H489="",TODAY(),H489),"")</f>
        <v/>
      </c>
      <c r="K489" s="16" t="inlineStr">
        <is>
          <t>Hash Table, Linked List</t>
        </is>
      </c>
      <c r="L489" s="16" t="inlineStr">
        <is>
          <t>all-oone-data-structure</t>
        </is>
      </c>
    </row>
    <row r="490">
      <c r="C490" s="16" t="inlineStr">
        <is>
          <t>SQL</t>
        </is>
      </c>
      <c r="E490" s="16" t="inlineStr">
        <is>
          <t>Hard</t>
        </is>
      </c>
      <c r="H490" s="21">
        <f>IF(G490=TRUE,IF(H490="",TODAY(),H490),"")</f>
        <v/>
      </c>
      <c r="K490" s="16" t="inlineStr">
        <is>
          <t>SQL</t>
        </is>
      </c>
      <c r="L490" s="16" t="inlineStr">
        <is>
          <t>find-students-with-study-spiral-pattern</t>
        </is>
      </c>
      <c r="M490" s="16" t="inlineStr">
        <is>
          <t>Find Students with Study Spiral Pattern (Round 2)</t>
        </is>
      </c>
    </row>
    <row r="491">
      <c r="C491" s="16" t="inlineStr">
        <is>
          <t>Codeforces</t>
        </is>
      </c>
      <c r="E491" s="16" t="inlineStr">
        <is>
          <t>CF 1500</t>
        </is>
      </c>
      <c r="H491" s="21">
        <f>IF(G491=TRUE,IF(H491="",TODAY(),H491),"")</f>
        <v/>
      </c>
      <c r="K491" s="16" t="inlineStr">
        <is>
          <t>greedy</t>
        </is>
      </c>
      <c r="L491" s="16" t="inlineStr">
        <is>
          <t>https://codeforces.com/problemset?order=BY_SOLVED_DESC&amp;tags=greedy,1500-1500</t>
        </is>
      </c>
      <c r="M491" s="16" t="inlineStr">
        <is>
          <t>Most-solved unsolved: greedy · 1500</t>
        </is>
      </c>
    </row>
    <row r="492">
      <c r="C492" s="16" t="inlineStr">
        <is>
          <t>Codeforces</t>
        </is>
      </c>
      <c r="E492" s="16" t="inlineStr">
        <is>
          <t>CF 1600</t>
        </is>
      </c>
      <c r="H492" s="21">
        <f>IF(G492=TRUE,IF(H492="",TODAY(),H492),"")</f>
        <v/>
      </c>
      <c r="K492" s="16" t="inlineStr">
        <is>
          <t>constructive algorithms</t>
        </is>
      </c>
      <c r="L492" s="16" t="inlineStr">
        <is>
          <t>https://codeforces.com/problemset?order=BY_SOLVED_DESC&amp;tags=constructive%20algorithms,1600-1600</t>
        </is>
      </c>
      <c r="M492" s="16" t="inlineStr">
        <is>
          <t>Most-solved unsolved: constructive algorithms · 1600</t>
        </is>
      </c>
    </row>
    <row r="493">
      <c r="C493" s="16" t="inlineStr">
        <is>
          <t>LeetCode</t>
        </is>
      </c>
      <c r="E493" s="16" t="inlineStr">
        <is>
          <t>Hard</t>
        </is>
      </c>
      <c r="H493" s="21">
        <f>IF(G493=TRUE,IF(H493="",TODAY(),H493),"")</f>
        <v/>
      </c>
      <c r="K493" s="16" t="inlineStr">
        <is>
          <t>Array, Dynamic Programming</t>
        </is>
      </c>
      <c r="L493" s="16" t="inlineStr">
        <is>
          <t>count-all-possible-routes</t>
        </is>
      </c>
    </row>
    <row r="494">
      <c r="C494" s="16" t="inlineStr">
        <is>
          <t>LeetCode</t>
        </is>
      </c>
      <c r="E494" s="16" t="inlineStr">
        <is>
          <t>Hard</t>
        </is>
      </c>
      <c r="H494" s="21">
        <f>IF(G494=TRUE,IF(H494="",TODAY(),H494),"")</f>
        <v/>
      </c>
      <c r="K494" s="16" t="inlineStr">
        <is>
          <t>Graph Theory, Heap (Priority Queue)</t>
        </is>
      </c>
      <c r="L494" s="16" t="inlineStr">
        <is>
          <t>minimum-weighted-subgraph-with-the-required-paths</t>
        </is>
      </c>
    </row>
    <row r="495">
      <c r="C495" s="16" t="inlineStr">
        <is>
          <t>SQL</t>
        </is>
      </c>
      <c r="E495" s="16" t="inlineStr">
        <is>
          <t>Hard</t>
        </is>
      </c>
      <c r="H495" s="21">
        <f>IF(G495=TRUE,IF(H495="",TODAY(),H495),"")</f>
        <v/>
      </c>
      <c r="K495" s="16" t="inlineStr">
        <is>
          <t>SQL</t>
        </is>
      </c>
      <c r="L495" s="16" t="inlineStr">
        <is>
          <t>find-invalid-ip-addresses</t>
        </is>
      </c>
      <c r="M495" s="16" t="inlineStr">
        <is>
          <t>Find Invalid IP Addresses (Round 2)</t>
        </is>
      </c>
    </row>
    <row r="496">
      <c r="C496" s="16" t="inlineStr">
        <is>
          <t>LeetCode</t>
        </is>
      </c>
      <c r="E496" s="16" t="inlineStr">
        <is>
          <t>Hard</t>
        </is>
      </c>
      <c r="H496" s="21">
        <f>IF(G496=TRUE,IF(H496="",TODAY(),H496),"")</f>
        <v/>
      </c>
      <c r="K496" s="16" t="inlineStr">
        <is>
          <t>Hash Table, String</t>
        </is>
      </c>
      <c r="L496" s="16" t="inlineStr">
        <is>
          <t>substring-with-concatenation-of-all-words</t>
        </is>
      </c>
    </row>
    <row r="497">
      <c r="C497" s="16" t="inlineStr">
        <is>
          <t>LeetCode</t>
        </is>
      </c>
      <c r="E497" s="16" t="inlineStr">
        <is>
          <t>Hard</t>
        </is>
      </c>
      <c r="H497" s="21">
        <f>IF(G497=TRUE,IF(H497="",TODAY(),H497),"")</f>
        <v/>
      </c>
      <c r="K497" s="16" t="inlineStr">
        <is>
          <t>Greedy, Depth-First Search</t>
        </is>
      </c>
      <c r="L497" s="16" t="inlineStr">
        <is>
          <t>couples-holding-hands</t>
        </is>
      </c>
    </row>
    <row r="498">
      <c r="C498" s="16" t="inlineStr">
        <is>
          <t>SQL</t>
        </is>
      </c>
      <c r="E498" s="16" t="inlineStr">
        <is>
          <t>Hard</t>
        </is>
      </c>
      <c r="H498" s="21">
        <f>IF(G498=TRUE,IF(H498="",TODAY(),H498),"")</f>
        <v/>
      </c>
      <c r="K498" s="16" t="inlineStr">
        <is>
          <t>SQL</t>
        </is>
      </c>
      <c r="L498" s="16" t="inlineStr">
        <is>
          <t>find-category-recommendation-pairs</t>
        </is>
      </c>
      <c r="M498" s="16" t="inlineStr">
        <is>
          <t>Find Category Recommendation Pairs (Round 2)</t>
        </is>
      </c>
    </row>
    <row r="499">
      <c r="C499" s="16" t="inlineStr">
        <is>
          <t>LeetCode</t>
        </is>
      </c>
      <c r="E499" s="16" t="inlineStr">
        <is>
          <t>Hard</t>
        </is>
      </c>
      <c r="H499" s="21">
        <f>IF(G499=TRUE,IF(H499="",TODAY(),H499),"")</f>
        <v/>
      </c>
      <c r="K499" s="16" t="inlineStr">
        <is>
          <t>Array, Hash Table</t>
        </is>
      </c>
      <c r="L499" s="16" t="inlineStr">
        <is>
          <t>meeting-rooms-iii</t>
        </is>
      </c>
      <c r="M499" s="16" t="inlineStr">
        <is>
          <t>Meeting Rooms III</t>
        </is>
      </c>
    </row>
    <row r="500">
      <c r="C500" s="16" t="inlineStr">
        <is>
          <t>LeetCode</t>
        </is>
      </c>
      <c r="E500" s="16" t="inlineStr">
        <is>
          <t>Medium</t>
        </is>
      </c>
      <c r="H500" s="21">
        <f>IF(G500=TRUE,IF(H500="",TODAY(),H500),"")</f>
        <v/>
      </c>
      <c r="K500" s="16" t="inlineStr">
        <is>
          <t>Array, Hash Table</t>
        </is>
      </c>
      <c r="L500" s="16" t="inlineStr">
        <is>
          <t>4sum-ii</t>
        </is>
      </c>
      <c r="M500" s="16" t="inlineStr">
        <is>
          <t>4Sum II</t>
        </is>
      </c>
    </row>
    <row r="501">
      <c r="C501" s="16" t="inlineStr">
        <is>
          <t>SQL</t>
        </is>
      </c>
      <c r="E501" s="16" t="inlineStr">
        <is>
          <t>Hard</t>
        </is>
      </c>
      <c r="H501" s="21">
        <f>IF(G501=TRUE,IF(H501="",TODAY(),H501),"")</f>
        <v/>
      </c>
      <c r="K501" s="16" t="inlineStr">
        <is>
          <t>SQL</t>
        </is>
      </c>
      <c r="L501" s="16" t="inlineStr">
        <is>
          <t>find-zombie-sessions</t>
        </is>
      </c>
      <c r="M501" s="16" t="inlineStr">
        <is>
          <t>Find Zombie Sessions (Round 2)</t>
        </is>
      </c>
    </row>
    <row r="502">
      <c r="C502" s="16" t="inlineStr">
        <is>
          <t>LeetCode</t>
        </is>
      </c>
      <c r="E502" s="16" t="inlineStr">
        <is>
          <t>Hard</t>
        </is>
      </c>
      <c r="H502" s="21">
        <f>IF(G502=TRUE,IF(H502="",TODAY(),H502),"")</f>
        <v/>
      </c>
      <c r="K502" s="16" t="inlineStr">
        <is>
          <t>Array, Hash Table</t>
        </is>
      </c>
      <c r="L502" s="16" t="inlineStr">
        <is>
          <t>sudoku-solver</t>
        </is>
      </c>
    </row>
    <row r="503">
      <c r="C503" s="16" t="inlineStr">
        <is>
          <t>LeetCode</t>
        </is>
      </c>
      <c r="E503" s="16" t="inlineStr">
        <is>
          <t>Hard</t>
        </is>
      </c>
      <c r="H503" s="21">
        <f>IF(G503=TRUE,IF(H503="",TODAY(),H503),"")</f>
        <v/>
      </c>
      <c r="K503" s="16" t="inlineStr">
        <is>
          <t>Array, Two Pointers</t>
        </is>
      </c>
      <c r="L503" s="16" t="inlineStr">
        <is>
          <t>maximum-score-of-a-good-subarray</t>
        </is>
      </c>
    </row>
    <row r="504">
      <c r="C504" s="16" t="inlineStr">
        <is>
          <t>SQL</t>
        </is>
      </c>
      <c r="E504" s="16" t="inlineStr">
        <is>
          <t>Hard</t>
        </is>
      </c>
      <c r="H504" s="21">
        <f>IF(G504=TRUE,IF(H504="",TODAY(),H504),"")</f>
        <v/>
      </c>
      <c r="K504" s="16" t="inlineStr">
        <is>
          <t>SQL</t>
        </is>
      </c>
      <c r="L504" s="16" t="inlineStr">
        <is>
          <t>first-letter-capitalization-ii</t>
        </is>
      </c>
      <c r="M504" s="16" t="inlineStr">
        <is>
          <t>First Letter Capitalization II (Round 2)</t>
        </is>
      </c>
    </row>
    <row r="505">
      <c r="C505" s="16" t="inlineStr">
        <is>
          <t>LeetCode</t>
        </is>
      </c>
      <c r="E505" s="16" t="inlineStr">
        <is>
          <t>Hard</t>
        </is>
      </c>
      <c r="H505" s="21">
        <f>IF(G505=TRUE,IF(H505="",TODAY(),H505),"")</f>
        <v/>
      </c>
      <c r="K505" s="16" t="inlineStr">
        <is>
          <t>Array, String</t>
        </is>
      </c>
      <c r="L505" s="16" t="inlineStr">
        <is>
          <t>longest-path-with-different-adjacent-characters</t>
        </is>
      </c>
    </row>
    <row r="506">
      <c r="C506" s="16" t="inlineStr">
        <is>
          <t>LeetCode</t>
        </is>
      </c>
      <c r="E506" s="16" t="inlineStr">
        <is>
          <t>Medium</t>
        </is>
      </c>
      <c r="H506" s="21">
        <f>IF(G506=TRUE,IF(H506="",TODAY(),H506),"")</f>
        <v/>
      </c>
      <c r="K506" s="16" t="inlineStr">
        <is>
          <t>Tree, Depth-First Search</t>
        </is>
      </c>
      <c r="L506" s="16" t="inlineStr">
        <is>
          <t>binary-tree-pruning</t>
        </is>
      </c>
    </row>
    <row r="507">
      <c r="C507" s="16" t="inlineStr">
        <is>
          <t>SQL</t>
        </is>
      </c>
      <c r="E507" s="16" t="inlineStr">
        <is>
          <t>Hard</t>
        </is>
      </c>
      <c r="H507" s="21">
        <f>IF(G507=TRUE,IF(H507="",TODAY(),H507),"")</f>
        <v/>
      </c>
      <c r="K507" s="16" t="inlineStr">
        <is>
          <t>SQL</t>
        </is>
      </c>
      <c r="L507" s="16" t="inlineStr">
        <is>
          <t>most-common-course-pairs</t>
        </is>
      </c>
      <c r="M507" s="16" t="inlineStr">
        <is>
          <t>Most Common Course Pairs (Round 2)</t>
        </is>
      </c>
    </row>
    <row r="508">
      <c r="C508" s="16" t="inlineStr">
        <is>
          <t>LeetCode</t>
        </is>
      </c>
      <c r="E508" s="16" t="inlineStr">
        <is>
          <t>Medium</t>
        </is>
      </c>
      <c r="H508" s="21">
        <f>IF(G508=TRUE,IF(H508="",TODAY(),H508),"")</f>
        <v/>
      </c>
      <c r="K508" s="16" t="inlineStr">
        <is>
          <t>Array, Bit Manipulation</t>
        </is>
      </c>
      <c r="L508" s="16" t="inlineStr">
        <is>
          <t>single-number-ii</t>
        </is>
      </c>
      <c r="M508" s="16" t="inlineStr">
        <is>
          <t>Single Number II</t>
        </is>
      </c>
    </row>
    <row r="509">
      <c r="C509" s="16" t="inlineStr">
        <is>
          <t>LeetCode</t>
        </is>
      </c>
      <c r="E509" s="16" t="inlineStr">
        <is>
          <t>Medium</t>
        </is>
      </c>
      <c r="H509" s="21">
        <f>IF(G509=TRUE,IF(H509="",TODAY(),H509),"")</f>
        <v/>
      </c>
      <c r="K509" s="16" t="inlineStr">
        <is>
          <t>Array, Hash Table</t>
        </is>
      </c>
      <c r="L509" s="16" t="inlineStr">
        <is>
          <t>equal-row-and-column-pairs</t>
        </is>
      </c>
    </row>
    <row r="510">
      <c r="C510" s="16" t="inlineStr">
        <is>
          <t>SQL</t>
        </is>
      </c>
      <c r="E510" s="16" t="inlineStr">
        <is>
          <t>Hard</t>
        </is>
      </c>
      <c r="H510" s="21">
        <f>IF(G510=TRUE,IF(H510="",TODAY(),H510),"")</f>
        <v/>
      </c>
      <c r="K510" s="16" t="inlineStr">
        <is>
          <t>SQL</t>
        </is>
      </c>
      <c r="L510" s="16" t="inlineStr">
        <is>
          <t>find-users-with-persistent-behavior-patterns</t>
        </is>
      </c>
      <c r="M510" s="16" t="inlineStr">
        <is>
          <t>Find Users with Persistent Behavior Patterns (Round 2)</t>
        </is>
      </c>
    </row>
    <row r="511">
      <c r="C511" s="16" t="inlineStr">
        <is>
          <t>LeetCode</t>
        </is>
      </c>
      <c r="E511" s="16" t="inlineStr">
        <is>
          <t>Hard</t>
        </is>
      </c>
      <c r="H511" s="21">
        <f>IF(G511=TRUE,IF(H511="",TODAY(),H511),"")</f>
        <v/>
      </c>
      <c r="K511" s="16" t="inlineStr">
        <is>
          <t>Array, Breadth-First Search</t>
        </is>
      </c>
      <c r="L511" s="16" t="inlineStr">
        <is>
          <t>minimum-obstacle-removal-to-reach-corner</t>
        </is>
      </c>
    </row>
    <row r="512">
      <c r="C512" s="16" t="inlineStr">
        <is>
          <t>LeetCode</t>
        </is>
      </c>
      <c r="E512" s="16" t="inlineStr">
        <is>
          <t>Medium</t>
        </is>
      </c>
      <c r="H512" s="21">
        <f>IF(G512=TRUE,IF(H512="",TODAY(),H512),"")</f>
        <v/>
      </c>
      <c r="K512" s="16" t="inlineStr">
        <is>
          <t>Math, Number Theory</t>
        </is>
      </c>
      <c r="L512" s="16" t="inlineStr">
        <is>
          <t>the-kth-factor-of-n</t>
        </is>
      </c>
    </row>
    <row r="513">
      <c r="C513" s="16" t="inlineStr">
        <is>
          <t>SQL</t>
        </is>
      </c>
      <c r="E513" s="16" t="inlineStr">
        <is>
          <t>Easy</t>
        </is>
      </c>
      <c r="H513" s="21">
        <f>IF(G513=TRUE,IF(H513="",TODAY(),H513),"")</f>
        <v/>
      </c>
      <c r="K513" s="16" t="inlineStr">
        <is>
          <t>SQL</t>
        </is>
      </c>
      <c r="L513" s="16" t="inlineStr">
        <is>
          <t>combine-two-tables</t>
        </is>
      </c>
      <c r="M513" s="16" t="inlineStr">
        <is>
          <t>Combine Two Tables (Round 2)</t>
        </is>
      </c>
    </row>
    <row r="514">
      <c r="C514" s="16" t="inlineStr">
        <is>
          <t>Codeforces</t>
        </is>
      </c>
      <c r="E514" s="16" t="inlineStr">
        <is>
          <t>CF 1700</t>
        </is>
      </c>
      <c r="H514" s="21">
        <f>IF(G514=TRUE,IF(H514="",TODAY(),H514),"")</f>
        <v/>
      </c>
      <c r="K514" s="16" t="inlineStr">
        <is>
          <t>math</t>
        </is>
      </c>
      <c r="L514" s="16" t="inlineStr">
        <is>
          <t>https://codeforces.com/problemset?order=BY_SOLVED_DESC&amp;tags=math,1700-1700</t>
        </is>
      </c>
      <c r="M514" s="16" t="inlineStr">
        <is>
          <t>Most-solved unsolved: math · 1700</t>
        </is>
      </c>
    </row>
    <row r="515">
      <c r="C515" s="16" t="inlineStr">
        <is>
          <t>Codeforces</t>
        </is>
      </c>
      <c r="E515" s="16" t="inlineStr">
        <is>
          <t>CF 1500</t>
        </is>
      </c>
      <c r="H515" s="21">
        <f>IF(G515=TRUE,IF(H515="",TODAY(),H515),"")</f>
        <v/>
      </c>
      <c r="K515" s="16" t="inlineStr">
        <is>
          <t>implementation</t>
        </is>
      </c>
      <c r="L515" s="16" t="inlineStr">
        <is>
          <t>https://codeforces.com/problemset?order=BY_SOLVED_DESC&amp;tags=implementation,1500-1500</t>
        </is>
      </c>
      <c r="M515" s="16" t="inlineStr">
        <is>
          <t>Most-solved unsolved: implementation · 1500</t>
        </is>
      </c>
    </row>
    <row r="516">
      <c r="C516" s="16" t="inlineStr">
        <is>
          <t>LeetCode</t>
        </is>
      </c>
      <c r="E516" s="16" t="inlineStr">
        <is>
          <t>Hard</t>
        </is>
      </c>
      <c r="H516" s="21">
        <f>IF(G516=TRUE,IF(H516="",TODAY(),H516),"")</f>
        <v/>
      </c>
      <c r="K516" s="16" t="inlineStr">
        <is>
          <t>Binary Search, Design</t>
        </is>
      </c>
      <c r="L516" s="16" t="inlineStr">
        <is>
          <t>my-calendar-iii</t>
        </is>
      </c>
      <c r="M516" s="16" t="inlineStr">
        <is>
          <t>My Calendar III</t>
        </is>
      </c>
    </row>
    <row r="517">
      <c r="C517" s="16" t="inlineStr">
        <is>
          <t>LeetCode</t>
        </is>
      </c>
      <c r="E517" s="16" t="inlineStr">
        <is>
          <t>Hard</t>
        </is>
      </c>
      <c r="H517" s="21">
        <f>IF(G517=TRUE,IF(H517="",TODAY(),H517),"")</f>
        <v/>
      </c>
      <c r="K517" s="16" t="inlineStr">
        <is>
          <t>Array, Hash Table</t>
        </is>
      </c>
      <c r="L517" s="16" t="inlineStr">
        <is>
          <t>number-of-valid-words-for-each-puzzle</t>
        </is>
      </c>
    </row>
    <row r="518">
      <c r="C518" s="16" t="inlineStr">
        <is>
          <t>SQL</t>
        </is>
      </c>
      <c r="E518" s="16" t="inlineStr">
        <is>
          <t>Easy</t>
        </is>
      </c>
      <c r="H518" s="21">
        <f>IF(G518=TRUE,IF(H518="",TODAY(),H518),"")</f>
        <v/>
      </c>
      <c r="K518" s="16" t="inlineStr">
        <is>
          <t>SQL</t>
        </is>
      </c>
      <c r="L518" s="16" t="inlineStr">
        <is>
          <t>rising-temperature</t>
        </is>
      </c>
      <c r="M518" s="16" t="inlineStr">
        <is>
          <t>Rising Temperature (Round 2)</t>
        </is>
      </c>
    </row>
    <row r="519">
      <c r="C519" s="16" t="inlineStr">
        <is>
          <t>LeetCode</t>
        </is>
      </c>
      <c r="E519" s="16" t="inlineStr">
        <is>
          <t>Medium</t>
        </is>
      </c>
      <c r="H519" s="21">
        <f>IF(G519=TRUE,IF(H519="",TODAY(),H519),"")</f>
        <v/>
      </c>
      <c r="K519" s="16" t="inlineStr">
        <is>
          <t>Array, Hash Table</t>
        </is>
      </c>
      <c r="L519" s="16" t="inlineStr">
        <is>
          <t>minimum-rounds-to-complete-all-tasks</t>
        </is>
      </c>
    </row>
    <row r="520">
      <c r="C520" s="16" t="inlineStr">
        <is>
          <t>LeetCode</t>
        </is>
      </c>
      <c r="E520" s="16" t="inlineStr">
        <is>
          <t>Medium</t>
        </is>
      </c>
      <c r="H520" s="21">
        <f>IF(G520=TRUE,IF(H520="",TODAY(),H520),"")</f>
        <v/>
      </c>
      <c r="K520" s="16" t="inlineStr">
        <is>
          <t>Array, Graph Theory</t>
        </is>
      </c>
      <c r="L520" s="16" t="inlineStr">
        <is>
          <t>minimum-cost-of-a-path-with-special-roads</t>
        </is>
      </c>
    </row>
    <row r="521">
      <c r="C521" s="16" t="inlineStr">
        <is>
          <t>SQL</t>
        </is>
      </c>
      <c r="E521" s="16" t="inlineStr">
        <is>
          <t>Easy</t>
        </is>
      </c>
      <c r="H521" s="21">
        <f>IF(G521=TRUE,IF(H521="",TODAY(),H521),"")</f>
        <v/>
      </c>
      <c r="K521" s="16" t="inlineStr">
        <is>
          <t>SQL</t>
        </is>
      </c>
      <c r="L521" s="16" t="inlineStr">
        <is>
          <t>customer-who-visited-but-did-not-make-any-transactions</t>
        </is>
      </c>
      <c r="M521" s="16" t="inlineStr">
        <is>
          <t>Customer Who Visited but Did Not Make Any Transactions (Round 2)</t>
        </is>
      </c>
    </row>
    <row r="522">
      <c r="C522" s="16" t="inlineStr">
        <is>
          <t>LeetCode</t>
        </is>
      </c>
      <c r="E522" s="16" t="inlineStr">
        <is>
          <t>Medium</t>
        </is>
      </c>
      <c r="H522" s="21">
        <f>IF(G522=TRUE,IF(H522="",TODAY(),H522),"")</f>
        <v/>
      </c>
      <c r="K522" s="16" t="inlineStr">
        <is>
          <t>Array, Greedy</t>
        </is>
      </c>
      <c r="L522" s="16" t="inlineStr">
        <is>
          <t>minimum-cost-homecoming-of-a-robot-in-a-grid</t>
        </is>
      </c>
    </row>
    <row r="523">
      <c r="C523" s="16" t="inlineStr">
        <is>
          <t>LeetCode</t>
        </is>
      </c>
      <c r="E523" s="16" t="inlineStr">
        <is>
          <t>Hard</t>
        </is>
      </c>
      <c r="H523" s="21">
        <f>IF(G523=TRUE,IF(H523="",TODAY(),H523),"")</f>
        <v/>
      </c>
      <c r="K523" s="16" t="inlineStr">
        <is>
          <t>Hash Table, String</t>
        </is>
      </c>
      <c r="L523" s="16" t="inlineStr">
        <is>
          <t>k-similar-strings</t>
        </is>
      </c>
    </row>
    <row r="524">
      <c r="C524" s="16" t="inlineStr">
        <is>
          <t>SQL</t>
        </is>
      </c>
      <c r="E524" s="16" t="inlineStr">
        <is>
          <t>Easy</t>
        </is>
      </c>
      <c r="H524" s="21">
        <f>IF(G524=TRUE,IF(H524="",TODAY(),H524),"")</f>
        <v/>
      </c>
      <c r="K524" s="16" t="inlineStr">
        <is>
          <t>SQL</t>
        </is>
      </c>
      <c r="L524" s="16" t="inlineStr">
        <is>
          <t>recyclable-and-low-fat-products</t>
        </is>
      </c>
      <c r="M524" s="16" t="inlineStr">
        <is>
          <t>Recyclable and Low Fat Products (Round 2)</t>
        </is>
      </c>
    </row>
    <row r="525">
      <c r="C525" s="16" t="inlineStr">
        <is>
          <t>LeetCode</t>
        </is>
      </c>
      <c r="E525" s="16" t="inlineStr">
        <is>
          <t>Hard</t>
        </is>
      </c>
      <c r="H525" s="21">
        <f>IF(G525=TRUE,IF(H525="",TODAY(),H525),"")</f>
        <v/>
      </c>
      <c r="K525" s="16" t="inlineStr">
        <is>
          <t>Array, Stack</t>
        </is>
      </c>
      <c r="L525" s="16" t="inlineStr">
        <is>
          <t>sum-of-total-strength-of-wizards</t>
        </is>
      </c>
    </row>
    <row r="526">
      <c r="C526" s="16" t="inlineStr">
        <is>
          <t>LeetCode</t>
        </is>
      </c>
      <c r="E526" s="16" t="inlineStr">
        <is>
          <t>Medium</t>
        </is>
      </c>
      <c r="H526" s="21">
        <f>IF(G526=TRUE,IF(H526="",TODAY(),H526),"")</f>
        <v/>
      </c>
      <c r="K526" s="16" t="inlineStr">
        <is>
          <t>Linked List, Two Pointers</t>
        </is>
      </c>
      <c r="L526" s="16" t="inlineStr">
        <is>
          <t>delete-the-middle-node-of-a-linked-list</t>
        </is>
      </c>
    </row>
    <row r="527">
      <c r="C527" s="16" t="inlineStr">
        <is>
          <t>SQL</t>
        </is>
      </c>
      <c r="E527" s="16" t="inlineStr">
        <is>
          <t>Easy</t>
        </is>
      </c>
      <c r="H527" s="21">
        <f>IF(G527=TRUE,IF(H527="",TODAY(),H527),"")</f>
        <v/>
      </c>
      <c r="K527" s="16" t="inlineStr">
        <is>
          <t>SQL</t>
        </is>
      </c>
      <c r="L527" s="16" t="inlineStr">
        <is>
          <t>big-countries</t>
        </is>
      </c>
      <c r="M527" s="16" t="inlineStr">
        <is>
          <t>Big Countries (Round 2)</t>
        </is>
      </c>
    </row>
    <row r="528">
      <c r="C528" s="16" t="inlineStr">
        <is>
          <t>LeetCode</t>
        </is>
      </c>
      <c r="E528" s="16" t="inlineStr">
        <is>
          <t>Medium</t>
        </is>
      </c>
      <c r="H528" s="21">
        <f>IF(G528=TRUE,IF(H528="",TODAY(),H528),"")</f>
        <v/>
      </c>
      <c r="K528" s="16" t="inlineStr">
        <is>
          <t>Hash Table, Tree</t>
        </is>
      </c>
      <c r="L528" s="16" t="inlineStr">
        <is>
          <t>cousins-in-binary-tree-ii</t>
        </is>
      </c>
      <c r="M528" s="16" t="inlineStr">
        <is>
          <t>Cousins in Binary Tree II</t>
        </is>
      </c>
    </row>
    <row r="529">
      <c r="C529" s="16" t="inlineStr">
        <is>
          <t>LeetCode</t>
        </is>
      </c>
      <c r="E529" s="16" t="inlineStr">
        <is>
          <t>Medium</t>
        </is>
      </c>
      <c r="H529" s="21">
        <f>IF(G529=TRUE,IF(H529="",TODAY(),H529),"")</f>
        <v/>
      </c>
      <c r="K529" s="16" t="inlineStr">
        <is>
          <t>Array, Hash Table</t>
        </is>
      </c>
      <c r="L529" s="16" t="inlineStr">
        <is>
          <t>evaluate-the-bracket-pairs-of-a-string</t>
        </is>
      </c>
    </row>
    <row r="530">
      <c r="C530" s="16" t="inlineStr">
        <is>
          <t>SQL</t>
        </is>
      </c>
      <c r="E530" s="16" t="inlineStr">
        <is>
          <t>Easy</t>
        </is>
      </c>
      <c r="H530" s="21">
        <f>IF(G530=TRUE,IF(H530="",TODAY(),H530),"")</f>
        <v/>
      </c>
      <c r="K530" s="16" t="inlineStr">
        <is>
          <t>SQL</t>
        </is>
      </c>
      <c r="L530" s="16" t="inlineStr">
        <is>
          <t>employees-earning-more-than-their-managers</t>
        </is>
      </c>
      <c r="M530" s="16" t="inlineStr">
        <is>
          <t>Employees Earning More Than Their Managers (Round 2)</t>
        </is>
      </c>
    </row>
    <row r="531">
      <c r="C531" s="16" t="inlineStr">
        <is>
          <t>LeetCode</t>
        </is>
      </c>
      <c r="E531" s="16" t="inlineStr">
        <is>
          <t>Medium</t>
        </is>
      </c>
      <c r="H531" s="21">
        <f>IF(G531=TRUE,IF(H531="",TODAY(),H531),"")</f>
        <v/>
      </c>
      <c r="K531" s="16" t="inlineStr">
        <is>
          <t>Array, Math</t>
        </is>
      </c>
      <c r="L531" s="16" t="inlineStr">
        <is>
          <t>find-triangular-sum-of-an-array</t>
        </is>
      </c>
    </row>
    <row r="532">
      <c r="C532" s="16" t="inlineStr">
        <is>
          <t>LeetCode</t>
        </is>
      </c>
      <c r="E532" s="16" t="inlineStr">
        <is>
          <t>Medium</t>
        </is>
      </c>
      <c r="H532" s="21">
        <f>IF(G532=TRUE,IF(H532="",TODAY(),H532),"")</f>
        <v/>
      </c>
      <c r="K532" s="16" t="inlineStr">
        <is>
          <t>String, Stack</t>
        </is>
      </c>
      <c r="L532" s="16" t="inlineStr">
        <is>
          <t>maximum-score-from-removing-substrings</t>
        </is>
      </c>
    </row>
    <row r="533">
      <c r="C533" s="16" t="inlineStr">
        <is>
          <t>SQL</t>
        </is>
      </c>
      <c r="E533" s="16" t="inlineStr">
        <is>
          <t>Easy</t>
        </is>
      </c>
      <c r="H533" s="21">
        <f>IF(G533=TRUE,IF(H533="",TODAY(),H533),"")</f>
        <v/>
      </c>
      <c r="K533" s="16" t="inlineStr">
        <is>
          <t>SQL</t>
        </is>
      </c>
      <c r="L533" s="16" t="inlineStr">
        <is>
          <t>students-and-examinations</t>
        </is>
      </c>
      <c r="M533" s="16" t="inlineStr">
        <is>
          <t>Students and Examinations (Round 2)</t>
        </is>
      </c>
    </row>
    <row r="534">
      <c r="C534" s="16" t="inlineStr">
        <is>
          <t>LeetCode</t>
        </is>
      </c>
      <c r="E534" s="16" t="inlineStr">
        <is>
          <t>Hard</t>
        </is>
      </c>
      <c r="H534" s="21">
        <f>IF(G534=TRUE,IF(H534="",TODAY(),H534),"")</f>
        <v/>
      </c>
      <c r="K534" s="16" t="inlineStr">
        <is>
          <t>String, Dynamic Programming</t>
        </is>
      </c>
      <c r="L534" s="16" t="inlineStr">
        <is>
          <t>longest-valid-parentheses</t>
        </is>
      </c>
    </row>
    <row r="535">
      <c r="C535" s="16" t="inlineStr">
        <is>
          <t>LeetCode</t>
        </is>
      </c>
      <c r="E535" s="16" t="inlineStr">
        <is>
          <t>Hard</t>
        </is>
      </c>
      <c r="H535" s="21">
        <f>IF(G535=TRUE,IF(H535="",TODAY(),H535),"")</f>
        <v/>
      </c>
      <c r="K535" s="16" t="inlineStr">
        <is>
          <t>Array, Hash Table</t>
        </is>
      </c>
      <c r="L535" s="16" t="inlineStr">
        <is>
          <t>sliding-window-median</t>
        </is>
      </c>
    </row>
    <row r="536">
      <c r="C536" s="16" t="inlineStr">
        <is>
          <t>SQL</t>
        </is>
      </c>
      <c r="E536" s="16" t="inlineStr">
        <is>
          <t>Easy</t>
        </is>
      </c>
      <c r="H536" s="21">
        <f>IF(G536=TRUE,IF(H536="",TODAY(),H536),"")</f>
        <v/>
      </c>
      <c r="K536" s="16" t="inlineStr">
        <is>
          <t>SQL</t>
        </is>
      </c>
      <c r="L536" s="16" t="inlineStr">
        <is>
          <t>customers-who-never-order</t>
        </is>
      </c>
      <c r="M536" s="16" t="inlineStr">
        <is>
          <t>Customers Who Never Order (Round 2)</t>
        </is>
      </c>
    </row>
    <row r="537">
      <c r="C537" s="16" t="inlineStr">
        <is>
          <t>Codeforces</t>
        </is>
      </c>
      <c r="E537" s="16" t="inlineStr">
        <is>
          <t>CF 1600</t>
        </is>
      </c>
      <c r="H537" s="21">
        <f>IF(G537=TRUE,IF(H537="",TODAY(),H537),"")</f>
        <v/>
      </c>
      <c r="K537" s="16" t="inlineStr">
        <is>
          <t>binary search</t>
        </is>
      </c>
      <c r="L537" s="16" t="inlineStr">
        <is>
          <t>https://codeforces.com/problemset?order=BY_SOLVED_DESC&amp;tags=binary%20search,1600-1600</t>
        </is>
      </c>
      <c r="M537" s="16" t="inlineStr">
        <is>
          <t>Most-solved unsolved: binary search · 1600</t>
        </is>
      </c>
    </row>
    <row r="538">
      <c r="C538" s="16" t="inlineStr">
        <is>
          <t>Codeforces</t>
        </is>
      </c>
      <c r="E538" s="16" t="inlineStr">
        <is>
          <t>CF 1700</t>
        </is>
      </c>
      <c r="H538" s="21">
        <f>IF(G538=TRUE,IF(H538="",TODAY(),H538),"")</f>
        <v/>
      </c>
      <c r="K538" s="16" t="inlineStr">
        <is>
          <t>two pointers</t>
        </is>
      </c>
      <c r="L538" s="16" t="inlineStr">
        <is>
          <t>https://codeforces.com/problemset?order=BY_SOLVED_DESC&amp;tags=two%20pointers,1700-1700</t>
        </is>
      </c>
      <c r="M538" s="16" t="inlineStr">
        <is>
          <t>Most-solved unsolved: two pointers · 1700</t>
        </is>
      </c>
    </row>
    <row r="539">
      <c r="C539" s="16" t="inlineStr">
        <is>
          <t>LeetCode</t>
        </is>
      </c>
      <c r="E539" s="16" t="inlineStr">
        <is>
          <t>Medium</t>
        </is>
      </c>
      <c r="H539" s="21">
        <f>IF(G539=TRUE,IF(H539="",TODAY(),H539),"")</f>
        <v/>
      </c>
      <c r="K539" s="16" t="inlineStr">
        <is>
          <t>Bit Manipulation</t>
        </is>
      </c>
      <c r="L539" s="16" t="inlineStr">
        <is>
          <t>minimum-flips-to-make-a-or-b-equal-to-c</t>
        </is>
      </c>
    </row>
    <row r="540">
      <c r="C540" s="16" t="inlineStr">
        <is>
          <t>LeetCode</t>
        </is>
      </c>
      <c r="E540" s="16" t="inlineStr">
        <is>
          <t>Medium</t>
        </is>
      </c>
      <c r="H540" s="21">
        <f>IF(G540=TRUE,IF(H540="",TODAY(),H540),"")</f>
        <v/>
      </c>
      <c r="K540" s="16" t="inlineStr">
        <is>
          <t>Array, Hash Table</t>
        </is>
      </c>
      <c r="L540" s="16" t="inlineStr">
        <is>
          <t>reachable-nodes-with-restrictions</t>
        </is>
      </c>
    </row>
    <row r="541">
      <c r="C541" s="16" t="inlineStr">
        <is>
          <t>SQL</t>
        </is>
      </c>
      <c r="E541" s="16" t="inlineStr">
        <is>
          <t>Easy</t>
        </is>
      </c>
      <c r="H541" s="21">
        <f>IF(G541=TRUE,IF(H541="",TODAY(),H541),"")</f>
        <v/>
      </c>
      <c r="K541" s="16" t="inlineStr">
        <is>
          <t>SQL</t>
        </is>
      </c>
      <c r="L541" s="16" t="inlineStr">
        <is>
          <t>find-customer-referee</t>
        </is>
      </c>
      <c r="M541" s="16" t="inlineStr">
        <is>
          <t>Find Customer Referee (Round 2)</t>
        </is>
      </c>
    </row>
    <row r="542">
      <c r="C542" s="16" t="inlineStr">
        <is>
          <t>LeetCode</t>
        </is>
      </c>
      <c r="E542" s="16" t="inlineStr">
        <is>
          <t>Medium</t>
        </is>
      </c>
      <c r="H542" s="21">
        <f>IF(G542=TRUE,IF(H542="",TODAY(),H542),"")</f>
        <v/>
      </c>
      <c r="K542" s="16" t="inlineStr">
        <is>
          <t>Depth-First Search, Breadth-First Search</t>
        </is>
      </c>
      <c r="L542" s="16" t="inlineStr">
        <is>
          <t>all-ancestors-of-a-node-in-a-directed-acyclic-graph</t>
        </is>
      </c>
    </row>
    <row r="543">
      <c r="C543" s="16" t="inlineStr">
        <is>
          <t>LeetCode</t>
        </is>
      </c>
      <c r="E543" s="16" t="inlineStr">
        <is>
          <t>Medium</t>
        </is>
      </c>
      <c r="H543" s="21">
        <f>IF(G543=TRUE,IF(H543="",TODAY(),H543),"")</f>
        <v/>
      </c>
      <c r="K543" s="16" t="inlineStr">
        <is>
          <t>Array, Binary Search</t>
        </is>
      </c>
      <c r="L543" s="16" t="inlineStr">
        <is>
          <t>minimum-sum-of-squared-difference</t>
        </is>
      </c>
    </row>
    <row r="544">
      <c r="C544" s="16" t="inlineStr">
        <is>
          <t>SQL</t>
        </is>
      </c>
      <c r="E544" s="16" t="inlineStr">
        <is>
          <t>Easy</t>
        </is>
      </c>
      <c r="H544" s="21">
        <f>IF(G544=TRUE,IF(H544="",TODAY(),H544),"")</f>
        <v/>
      </c>
      <c r="K544" s="16" t="inlineStr">
        <is>
          <t>SQL</t>
        </is>
      </c>
      <c r="L544" s="16" t="inlineStr">
        <is>
          <t>average-time-of-process-per-machine</t>
        </is>
      </c>
      <c r="M544" s="16" t="inlineStr">
        <is>
          <t>Average Time of Process per Machine (Round 2)</t>
        </is>
      </c>
    </row>
    <row r="545">
      <c r="C545" s="16" t="inlineStr">
        <is>
          <t>LeetCode</t>
        </is>
      </c>
      <c r="E545" s="16" t="inlineStr">
        <is>
          <t>Medium</t>
        </is>
      </c>
      <c r="H545" s="21">
        <f>IF(G545=TRUE,IF(H545="",TODAY(),H545),"")</f>
        <v/>
      </c>
      <c r="K545" s="16" t="inlineStr">
        <is>
          <t>Depth-First Search, Breadth-First Search</t>
        </is>
      </c>
      <c r="L545" s="16" t="inlineStr">
        <is>
          <t>count-the-number-of-complete-components</t>
        </is>
      </c>
    </row>
    <row r="546">
      <c r="C546" s="16" t="inlineStr">
        <is>
          <t>LeetCode</t>
        </is>
      </c>
      <c r="E546" s="16" t="inlineStr">
        <is>
          <t>Medium</t>
        </is>
      </c>
      <c r="H546" s="21">
        <f>IF(G546=TRUE,IF(H546="",TODAY(),H546),"")</f>
        <v/>
      </c>
      <c r="K546" s="16" t="inlineStr">
        <is>
          <t>Linked List, Math</t>
        </is>
      </c>
      <c r="L546" s="16" t="inlineStr">
        <is>
          <t>insert-greatest-common-divisors-in-linked-list</t>
        </is>
      </c>
    </row>
    <row r="547">
      <c r="C547" s="16" t="inlineStr">
        <is>
          <t>SQL</t>
        </is>
      </c>
      <c r="E547" s="16" t="inlineStr">
        <is>
          <t>Easy</t>
        </is>
      </c>
      <c r="H547" s="21">
        <f>IF(G547=TRUE,IF(H547="",TODAY(),H547),"")</f>
        <v/>
      </c>
      <c r="K547" s="16" t="inlineStr">
        <is>
          <t>SQL</t>
        </is>
      </c>
      <c r="L547" s="16" t="inlineStr">
        <is>
          <t>duplicate-emails</t>
        </is>
      </c>
      <c r="M547" s="16" t="inlineStr">
        <is>
          <t>Duplicate Emails (Round 2)</t>
        </is>
      </c>
    </row>
    <row r="548">
      <c r="C548" s="16" t="inlineStr">
        <is>
          <t>LeetCode</t>
        </is>
      </c>
      <c r="E548" s="16" t="inlineStr">
        <is>
          <t>Hard</t>
        </is>
      </c>
      <c r="H548" s="21">
        <f>IF(G548=TRUE,IF(H548="",TODAY(),H548),"")</f>
        <v/>
      </c>
      <c r="K548" s="16" t="inlineStr">
        <is>
          <t>Array, Math</t>
        </is>
      </c>
      <c r="L548" s="16" t="inlineStr">
        <is>
          <t>24-game</t>
        </is>
      </c>
    </row>
    <row r="549">
      <c r="C549" s="16" t="inlineStr">
        <is>
          <t>LeetCode</t>
        </is>
      </c>
      <c r="E549" s="16" t="inlineStr">
        <is>
          <t>Hard</t>
        </is>
      </c>
      <c r="H549" s="21">
        <f>IF(G549=TRUE,IF(H549="",TODAY(),H549),"")</f>
        <v/>
      </c>
      <c r="K549" s="16" t="inlineStr">
        <is>
          <t>Array, Binary Search</t>
        </is>
      </c>
      <c r="L549" s="16" t="inlineStr">
        <is>
          <t>russian-doll-envelopes</t>
        </is>
      </c>
    </row>
    <row r="550">
      <c r="C550" s="16" t="inlineStr">
        <is>
          <t>SQL</t>
        </is>
      </c>
      <c r="E550" s="16" t="inlineStr">
        <is>
          <t>Easy</t>
        </is>
      </c>
      <c r="H550" s="21">
        <f>IF(G550=TRUE,IF(H550="",TODAY(),H550),"")</f>
        <v/>
      </c>
      <c r="K550" s="16" t="inlineStr">
        <is>
          <t>SQL</t>
        </is>
      </c>
      <c r="L550" s="16" t="inlineStr">
        <is>
          <t>article-views-i</t>
        </is>
      </c>
      <c r="M550" s="16" t="inlineStr">
        <is>
          <t>Article Views I (Round 2)</t>
        </is>
      </c>
    </row>
    <row r="551">
      <c r="C551" s="16" t="inlineStr">
        <is>
          <t>LeetCode</t>
        </is>
      </c>
      <c r="E551" s="16" t="inlineStr">
        <is>
          <t>Hard</t>
        </is>
      </c>
      <c r="H551" s="21">
        <f>IF(G551=TRUE,IF(H551="",TODAY(),H551),"")</f>
        <v/>
      </c>
      <c r="K551" s="16" t="inlineStr">
        <is>
          <t>Dynamic Programming, Heuristic Search</t>
        </is>
      </c>
      <c r="L551" s="16" t="inlineStr">
        <is>
          <t>race-car</t>
        </is>
      </c>
    </row>
    <row r="552">
      <c r="C552" s="16" t="inlineStr">
        <is>
          <t>LeetCode</t>
        </is>
      </c>
      <c r="E552" s="16" t="inlineStr">
        <is>
          <t>Medium</t>
        </is>
      </c>
      <c r="H552" s="21">
        <f>IF(G552=TRUE,IF(H552="",TODAY(),H552),"")</f>
        <v/>
      </c>
      <c r="K552" s="16" t="inlineStr">
        <is>
          <t>Array, Greedy</t>
        </is>
      </c>
      <c r="L552" s="16" t="inlineStr">
        <is>
          <t>maximum-bags-with-full-capacity-of-rocks</t>
        </is>
      </c>
    </row>
    <row r="553">
      <c r="C553" s="16" t="inlineStr">
        <is>
          <t>SQL</t>
        </is>
      </c>
      <c r="E553" s="16" t="inlineStr">
        <is>
          <t>Easy</t>
        </is>
      </c>
      <c r="H553" s="21">
        <f>IF(G553=TRUE,IF(H553="",TODAY(),H553),"")</f>
        <v/>
      </c>
      <c r="K553" s="16" t="inlineStr">
        <is>
          <t>SQL</t>
        </is>
      </c>
      <c r="L553" s="16" t="inlineStr">
        <is>
          <t>delete-duplicate-emails</t>
        </is>
      </c>
      <c r="M553" s="16" t="inlineStr">
        <is>
          <t>Delete Duplicate Emails (Round 2)</t>
        </is>
      </c>
    </row>
    <row r="554">
      <c r="C554" s="16" t="inlineStr">
        <is>
          <t>LeetCode</t>
        </is>
      </c>
      <c r="E554" s="16" t="inlineStr">
        <is>
          <t>Hard</t>
        </is>
      </c>
      <c r="H554" s="21">
        <f>IF(G554=TRUE,IF(H554="",TODAY(),H554),"")</f>
        <v/>
      </c>
      <c r="K554" s="16" t="inlineStr">
        <is>
          <t>String, Dynamic Programming</t>
        </is>
      </c>
      <c r="L554" s="16" t="inlineStr">
        <is>
          <t>palindrome-partitioning-iii</t>
        </is>
      </c>
      <c r="M554" s="16" t="inlineStr">
        <is>
          <t>Palindrome Partitioning III</t>
        </is>
      </c>
    </row>
    <row r="555">
      <c r="C555" s="16" t="inlineStr">
        <is>
          <t>LeetCode</t>
        </is>
      </c>
      <c r="E555" s="16" t="inlineStr">
        <is>
          <t>Hard</t>
        </is>
      </c>
      <c r="H555" s="21">
        <f>IF(G555=TRUE,IF(H555="",TODAY(),H555),"")</f>
        <v/>
      </c>
      <c r="K555" s="16" t="inlineStr">
        <is>
          <t>Array, Binary Search</t>
        </is>
      </c>
      <c r="L555" s="16" t="inlineStr">
        <is>
          <t>last-day-where-you-can-still-cross</t>
        </is>
      </c>
    </row>
    <row r="556">
      <c r="C556" s="16" t="inlineStr">
        <is>
          <t>SQL</t>
        </is>
      </c>
      <c r="E556" s="16" t="inlineStr">
        <is>
          <t>Easy</t>
        </is>
      </c>
      <c r="H556" s="21">
        <f>IF(G556=TRUE,IF(H556="",TODAY(),H556),"")</f>
        <v/>
      </c>
      <c r="K556" s="16" t="inlineStr">
        <is>
          <t>SQL</t>
        </is>
      </c>
      <c r="L556" s="16" t="inlineStr">
        <is>
          <t>replace-employee-id-with-the-unique-identifier</t>
        </is>
      </c>
      <c r="M556" s="16" t="inlineStr">
        <is>
          <t>Replace Employee ID With The Unique Identifier (Round 2)</t>
        </is>
      </c>
    </row>
    <row r="557">
      <c r="C557" s="16" t="inlineStr">
        <is>
          <t>LeetCode</t>
        </is>
      </c>
      <c r="E557" s="16" t="inlineStr">
        <is>
          <t>Hard</t>
        </is>
      </c>
      <c r="H557" s="21">
        <f>IF(G557=TRUE,IF(H557="",TODAY(),H557),"")</f>
        <v/>
      </c>
      <c r="K557" s="16" t="inlineStr">
        <is>
          <t>Array, Breadth-First Search</t>
        </is>
      </c>
      <c r="L557" s="16" t="inlineStr">
        <is>
          <t>trapping-rain-water-ii</t>
        </is>
      </c>
      <c r="M557" s="16" t="inlineStr">
        <is>
          <t>Trapping Rain Water II</t>
        </is>
      </c>
    </row>
    <row r="558">
      <c r="C558" s="16" t="inlineStr">
        <is>
          <t>LeetCode</t>
        </is>
      </c>
      <c r="E558" s="16" t="inlineStr">
        <is>
          <t>Medium</t>
        </is>
      </c>
      <c r="H558" s="21">
        <f>IF(G558=TRUE,IF(H558="",TODAY(),H558),"")</f>
        <v/>
      </c>
      <c r="K558" s="16" t="inlineStr">
        <is>
          <t>Array, Math</t>
        </is>
      </c>
      <c r="L558" s="16" t="inlineStr">
        <is>
          <t>largest-divisible-subset</t>
        </is>
      </c>
    </row>
    <row r="559">
      <c r="C559" s="16" t="inlineStr">
        <is>
          <t>SQL</t>
        </is>
      </c>
      <c r="E559" s="16" t="inlineStr">
        <is>
          <t>Easy</t>
        </is>
      </c>
      <c r="H559" s="21">
        <f>IF(G559=TRUE,IF(H559="",TODAY(),H559),"")</f>
        <v/>
      </c>
      <c r="K559" s="16" t="inlineStr">
        <is>
          <t>SQL</t>
        </is>
      </c>
      <c r="L559" s="16" t="inlineStr">
        <is>
          <t>average-selling-price</t>
        </is>
      </c>
      <c r="M559" s="16" t="inlineStr">
        <is>
          <t>Average Selling Price (Round 2)</t>
        </is>
      </c>
    </row>
    <row r="560">
      <c r="C560" s="16" t="inlineStr">
        <is>
          <t>Codeforces</t>
        </is>
      </c>
      <c r="E560" s="16" t="inlineStr">
        <is>
          <t>CF 1500</t>
        </is>
      </c>
      <c r="H560" s="21">
        <f>IF(G560=TRUE,IF(H560="",TODAY(),H560),"")</f>
        <v/>
      </c>
      <c r="K560" s="16" t="inlineStr">
        <is>
          <t>sortings</t>
        </is>
      </c>
      <c r="L560" s="16" t="inlineStr">
        <is>
          <t>https://codeforces.com/problemset?order=BY_SOLVED_DESC&amp;tags=sortings,1500-1500</t>
        </is>
      </c>
      <c r="M560" s="16" t="inlineStr">
        <is>
          <t>Most-solved unsolved: sortings · 1500</t>
        </is>
      </c>
    </row>
    <row r="561">
      <c r="C561" s="16" t="inlineStr">
        <is>
          <t>Codeforces</t>
        </is>
      </c>
      <c r="E561" s="16" t="inlineStr">
        <is>
          <t>CF 1600</t>
        </is>
      </c>
      <c r="H561" s="21">
        <f>IF(G561=TRUE,IF(H561="",TODAY(),H561),"")</f>
        <v/>
      </c>
      <c r="K561" s="16" t="inlineStr">
        <is>
          <t>strings</t>
        </is>
      </c>
      <c r="L561" s="16" t="inlineStr">
        <is>
          <t>https://codeforces.com/problemset?order=BY_SOLVED_DESC&amp;tags=strings,1600-1600</t>
        </is>
      </c>
      <c r="M561" s="16" t="inlineStr">
        <is>
          <t>Most-solved unsolved: strings · 1600</t>
        </is>
      </c>
    </row>
    <row r="562">
      <c r="C562" s="16" t="inlineStr">
        <is>
          <t>LeetCode</t>
        </is>
      </c>
      <c r="E562" s="16" t="inlineStr">
        <is>
          <t>Hard</t>
        </is>
      </c>
      <c r="H562" s="21">
        <f>IF(G562=TRUE,IF(H562="",TODAY(),H562),"")</f>
        <v/>
      </c>
      <c r="K562" s="16" t="inlineStr">
        <is>
          <t>Array, Sliding Window</t>
        </is>
      </c>
      <c r="L562" s="16" t="inlineStr">
        <is>
          <t>contains-duplicate-iii</t>
        </is>
      </c>
      <c r="M562" s="16" t="inlineStr">
        <is>
          <t>Contains Duplicate III</t>
        </is>
      </c>
    </row>
    <row r="563">
      <c r="C563" s="16" t="inlineStr">
        <is>
          <t>LeetCode</t>
        </is>
      </c>
      <c r="E563" s="16" t="inlineStr">
        <is>
          <t>Medium</t>
        </is>
      </c>
      <c r="H563" s="21">
        <f>IF(G563=TRUE,IF(H563="",TODAY(),H563),"")</f>
        <v/>
      </c>
      <c r="K563" s="16" t="inlineStr">
        <is>
          <t>Math, String</t>
        </is>
      </c>
      <c r="L563" s="16" t="inlineStr">
        <is>
          <t>number-of-ways-to-split-a-string</t>
        </is>
      </c>
    </row>
    <row r="564">
      <c r="C564" s="16" t="inlineStr">
        <is>
          <t>SQL</t>
        </is>
      </c>
      <c r="E564" s="16" t="inlineStr">
        <is>
          <t>Easy</t>
        </is>
      </c>
      <c r="H564" s="21">
        <f>IF(G564=TRUE,IF(H564="",TODAY(),H564),"")</f>
        <v/>
      </c>
      <c r="K564" s="16" t="inlineStr">
        <is>
          <t>SQL</t>
        </is>
      </c>
      <c r="L564" s="16" t="inlineStr">
        <is>
          <t>swap-sex-of-employees</t>
        </is>
      </c>
      <c r="M564" s="16" t="inlineStr">
        <is>
          <t>Swap Sex of Employees (Round 2)</t>
        </is>
      </c>
    </row>
    <row r="565">
      <c r="C565" s="16" t="inlineStr">
        <is>
          <t>LeetCode</t>
        </is>
      </c>
      <c r="E565" s="16" t="inlineStr">
        <is>
          <t>Hard</t>
        </is>
      </c>
      <c r="H565" s="21">
        <f>IF(G565=TRUE,IF(H565="",TODAY(),H565),"")</f>
        <v/>
      </c>
      <c r="K565" s="16" t="inlineStr">
        <is>
          <t>Array, Bit Manipulation</t>
        </is>
      </c>
      <c r="L565" s="16" t="inlineStr">
        <is>
          <t>minimum-number-of-k-consecutive-bit-flips</t>
        </is>
      </c>
    </row>
    <row r="566">
      <c r="C566" s="16" t="inlineStr">
        <is>
          <t>LeetCode</t>
        </is>
      </c>
      <c r="E566" s="16" t="inlineStr">
        <is>
          <t>Medium</t>
        </is>
      </c>
      <c r="H566" s="21">
        <f>IF(G566=TRUE,IF(H566="",TODAY(),H566),"")</f>
        <v/>
      </c>
      <c r="K566" s="16" t="inlineStr">
        <is>
          <t>Array, Math</t>
        </is>
      </c>
      <c r="L566" s="16" t="inlineStr">
        <is>
          <t>number-of-smooth-descent-periods-of-a-stock</t>
        </is>
      </c>
    </row>
    <row r="567">
      <c r="C567" s="16" t="inlineStr">
        <is>
          <t>SQL</t>
        </is>
      </c>
      <c r="E567" s="16" t="inlineStr">
        <is>
          <t>Easy</t>
        </is>
      </c>
      <c r="H567" s="21">
        <f>IF(G567=TRUE,IF(H567="",TODAY(),H567),"")</f>
        <v/>
      </c>
      <c r="K567" s="16" t="inlineStr">
        <is>
          <t>SQL</t>
        </is>
      </c>
      <c r="L567" s="16" t="inlineStr">
        <is>
          <t>group-sold-products-by-the-date</t>
        </is>
      </c>
      <c r="M567" s="16" t="inlineStr">
        <is>
          <t>Group Sold Products By The Date (Round 2)</t>
        </is>
      </c>
    </row>
    <row r="568">
      <c r="C568" s="16" t="inlineStr">
        <is>
          <t>LeetCode</t>
        </is>
      </c>
      <c r="E568" s="16" t="inlineStr">
        <is>
          <t>Medium</t>
        </is>
      </c>
      <c r="H568" s="21">
        <f>IF(G568=TRUE,IF(H568="",TODAY(),H568),"")</f>
        <v/>
      </c>
      <c r="K568" s="16" t="inlineStr">
        <is>
          <t>Hash Table, Design</t>
        </is>
      </c>
      <c r="L568" s="16" t="inlineStr">
        <is>
          <t>smallest-number-in-infinite-set</t>
        </is>
      </c>
    </row>
    <row r="569">
      <c r="C569" s="16" t="inlineStr">
        <is>
          <t>LeetCode</t>
        </is>
      </c>
      <c r="E569" s="16" t="inlineStr">
        <is>
          <t>Hard</t>
        </is>
      </c>
      <c r="H569" s="21">
        <f>IF(G569=TRUE,IF(H569="",TODAY(),H569),"")</f>
        <v/>
      </c>
      <c r="K569" s="16" t="inlineStr">
        <is>
          <t>Tree, Depth-First Search</t>
        </is>
      </c>
      <c r="L569" s="16" t="inlineStr">
        <is>
          <t>maximum-number-of-k-divisible-components</t>
        </is>
      </c>
    </row>
    <row r="570">
      <c r="C570" s="16" t="inlineStr">
        <is>
          <t>SQL</t>
        </is>
      </c>
      <c r="E570" s="16" t="inlineStr">
        <is>
          <t>Easy</t>
        </is>
      </c>
      <c r="H570" s="21">
        <f>IF(G570=TRUE,IF(H570="",TODAY(),H570),"")</f>
        <v/>
      </c>
      <c r="K570" s="16" t="inlineStr">
        <is>
          <t>SQL</t>
        </is>
      </c>
      <c r="L570" s="16" t="inlineStr">
        <is>
          <t>employee-bonus</t>
        </is>
      </c>
      <c r="M570" s="16" t="inlineStr">
        <is>
          <t>Employee Bonus (Round 2)</t>
        </is>
      </c>
    </row>
    <row r="571">
      <c r="C571" s="16" t="inlineStr">
        <is>
          <t>LeetCode</t>
        </is>
      </c>
      <c r="E571" s="16" t="inlineStr">
        <is>
          <t>Hard</t>
        </is>
      </c>
      <c r="H571" s="21">
        <f>IF(G571=TRUE,IF(H571="",TODAY(),H571),"")</f>
        <v/>
      </c>
      <c r="K571" s="16" t="inlineStr">
        <is>
          <t>Hash Table, String</t>
        </is>
      </c>
      <c r="L571" s="16" t="inlineStr">
        <is>
          <t>word-ladder-ii</t>
        </is>
      </c>
      <c r="M571" s="16" t="inlineStr">
        <is>
          <t>Word Ladder II</t>
        </is>
      </c>
    </row>
    <row r="572">
      <c r="C572" s="16" t="inlineStr">
        <is>
          <t>LeetCode</t>
        </is>
      </c>
      <c r="E572" s="16" t="inlineStr">
        <is>
          <t>Medium</t>
        </is>
      </c>
      <c r="H572" s="21">
        <f>IF(G572=TRUE,IF(H572="",TODAY(),H572),"")</f>
        <v/>
      </c>
      <c r="K572" s="16" t="inlineStr">
        <is>
          <t>String, Binary Search</t>
        </is>
      </c>
      <c r="L572" s="16" t="inlineStr">
        <is>
          <t>maximize-the-confusion-of-an-exam</t>
        </is>
      </c>
    </row>
    <row r="573">
      <c r="C573" s="16" t="inlineStr">
        <is>
          <t>SQL</t>
        </is>
      </c>
      <c r="E573" s="16" t="inlineStr">
        <is>
          <t>Easy</t>
        </is>
      </c>
      <c r="H573" s="21">
        <f>IF(G573=TRUE,IF(H573="",TODAY(),H573),"")</f>
        <v/>
      </c>
      <c r="K573" s="16" t="inlineStr">
        <is>
          <t>SQL</t>
        </is>
      </c>
      <c r="L573" s="16" t="inlineStr">
        <is>
          <t>not-boring-movies</t>
        </is>
      </c>
      <c r="M573" s="16" t="inlineStr">
        <is>
          <t>Not Boring Movies (Round 2)</t>
        </is>
      </c>
    </row>
    <row r="574">
      <c r="C574" s="16" t="inlineStr">
        <is>
          <t>LeetCode</t>
        </is>
      </c>
      <c r="E574" s="16" t="inlineStr">
        <is>
          <t>Hard</t>
        </is>
      </c>
      <c r="H574" s="21">
        <f>IF(G574=TRUE,IF(H574="",TODAY(),H574),"")</f>
        <v/>
      </c>
      <c r="K574" s="16" t="inlineStr">
        <is>
          <t>Array, String</t>
        </is>
      </c>
      <c r="L574" s="16" t="inlineStr">
        <is>
          <t>stream-of-characters</t>
        </is>
      </c>
    </row>
    <row r="575">
      <c r="C575" s="16" t="inlineStr">
        <is>
          <t>LeetCode</t>
        </is>
      </c>
      <c r="E575" s="16" t="inlineStr">
        <is>
          <t>Hard</t>
        </is>
      </c>
      <c r="H575" s="21">
        <f>IF(G575=TRUE,IF(H575="",TODAY(),H575),"")</f>
        <v/>
      </c>
      <c r="K575" s="16" t="inlineStr">
        <is>
          <t>Depth-First Search, Breadth-First Search</t>
        </is>
      </c>
      <c r="L575" s="16" t="inlineStr">
        <is>
          <t>sort-items-by-groups-respecting-dependencies</t>
        </is>
      </c>
    </row>
    <row r="576">
      <c r="C576" s="16" t="inlineStr">
        <is>
          <t>SQL</t>
        </is>
      </c>
      <c r="E576" s="16" t="inlineStr">
        <is>
          <t>Easy</t>
        </is>
      </c>
      <c r="H576" s="21">
        <f>IF(G576=TRUE,IF(H576="",TODAY(),H576),"")</f>
        <v/>
      </c>
      <c r="K576" s="16" t="inlineStr">
        <is>
          <t>SQL</t>
        </is>
      </c>
      <c r="L576" s="16" t="inlineStr">
        <is>
          <t>product-sales-analysis-i</t>
        </is>
      </c>
      <c r="M576" s="16" t="inlineStr">
        <is>
          <t>Product Sales Analysis I (Round 2)</t>
        </is>
      </c>
    </row>
    <row r="577">
      <c r="C577" s="16" t="inlineStr">
        <is>
          <t>LeetCode</t>
        </is>
      </c>
      <c r="E577" s="16" t="inlineStr">
        <is>
          <t>Medium</t>
        </is>
      </c>
      <c r="H577" s="21">
        <f>IF(G577=TRUE,IF(H577="",TODAY(),H577),"")</f>
        <v/>
      </c>
      <c r="K577" s="16" t="inlineStr">
        <is>
          <t>Array, Two Pointers</t>
        </is>
      </c>
      <c r="L577" s="16" t="inlineStr">
        <is>
          <t>count-the-number-of-fair-pairs</t>
        </is>
      </c>
    </row>
    <row r="578">
      <c r="C578" s="16" t="inlineStr">
        <is>
          <t>LeetCode</t>
        </is>
      </c>
      <c r="E578" s="16" t="inlineStr">
        <is>
          <t>Medium</t>
        </is>
      </c>
      <c r="H578" s="21">
        <f>IF(G578=TRUE,IF(H578="",TODAY(),H578),"")</f>
        <v/>
      </c>
      <c r="K578" s="16" t="inlineStr">
        <is>
          <t>Array, Hash Table</t>
        </is>
      </c>
      <c r="L578" s="16" t="inlineStr">
        <is>
          <t>rank-teams-by-votes</t>
        </is>
      </c>
    </row>
    <row r="579">
      <c r="C579" s="16" t="inlineStr">
        <is>
          <t>SQL</t>
        </is>
      </c>
      <c r="E579" s="16" t="inlineStr">
        <is>
          <t>Easy</t>
        </is>
      </c>
      <c r="H579" s="21">
        <f>IF(G579=TRUE,IF(H579="",TODAY(),H579),"")</f>
        <v/>
      </c>
      <c r="K579" s="16" t="inlineStr">
        <is>
          <t>SQL</t>
        </is>
      </c>
      <c r="L579" s="16" t="inlineStr">
        <is>
          <t>invalid-tweets</t>
        </is>
      </c>
      <c r="M579" s="16" t="inlineStr">
        <is>
          <t>Invalid Tweets (Round 2)</t>
        </is>
      </c>
    </row>
    <row r="580">
      <c r="C580" s="16" t="inlineStr">
        <is>
          <t>LeetCode</t>
        </is>
      </c>
      <c r="E580" s="16" t="inlineStr">
        <is>
          <t>Medium</t>
        </is>
      </c>
      <c r="H580" s="21">
        <f>IF(G580=TRUE,IF(H580="",TODAY(),H580),"")</f>
        <v/>
      </c>
      <c r="K580" s="16" t="inlineStr">
        <is>
          <t>String, Greedy</t>
        </is>
      </c>
      <c r="L580" s="16" t="inlineStr">
        <is>
          <t>smallest-string-with-a-given-numeric-value</t>
        </is>
      </c>
    </row>
    <row r="581">
      <c r="C581" s="16" t="inlineStr">
        <is>
          <t>LeetCode</t>
        </is>
      </c>
      <c r="E581" s="16" t="inlineStr">
        <is>
          <t>Medium</t>
        </is>
      </c>
      <c r="H581" s="21">
        <f>IF(G581=TRUE,IF(H581="",TODAY(),H581),"")</f>
        <v/>
      </c>
      <c r="K581" s="16" t="inlineStr">
        <is>
          <t>Array, Simulation</t>
        </is>
      </c>
      <c r="L581" s="16" t="inlineStr">
        <is>
          <t>sum-of-even-numbers-after-queries</t>
        </is>
      </c>
    </row>
    <row r="582">
      <c r="C582" s="16" t="inlineStr">
        <is>
          <t>SQL</t>
        </is>
      </c>
      <c r="E582" s="16" t="inlineStr">
        <is>
          <t>Easy</t>
        </is>
      </c>
      <c r="H582" s="21">
        <f>IF(G582=TRUE,IF(H582="",TODAY(),H582),"")</f>
        <v/>
      </c>
      <c r="K582" s="16" t="inlineStr">
        <is>
          <t>SQL</t>
        </is>
      </c>
      <c r="L582" s="16" t="inlineStr">
        <is>
          <t>sales-person</t>
        </is>
      </c>
      <c r="M582" s="16" t="inlineStr">
        <is>
          <t>Sales Person (Round 2)</t>
        </is>
      </c>
    </row>
    <row r="583">
      <c r="C583" s="16" t="inlineStr">
        <is>
          <t>Codeforces</t>
        </is>
      </c>
      <c r="E583" s="16" t="inlineStr">
        <is>
          <t>CF 1700</t>
        </is>
      </c>
      <c r="H583" s="21">
        <f>IF(G583=TRUE,IF(H583="",TODAY(),H583),"")</f>
        <v/>
      </c>
      <c r="K583" s="16" t="inlineStr">
        <is>
          <t>dp</t>
        </is>
      </c>
      <c r="L583" s="16" t="inlineStr">
        <is>
          <t>https://codeforces.com/problemset?order=BY_SOLVED_DESC&amp;tags=dp,1700-1700</t>
        </is>
      </c>
      <c r="M583" s="16" t="inlineStr">
        <is>
          <t>Most-solved unsolved: dp · 1700</t>
        </is>
      </c>
    </row>
    <row r="584">
      <c r="C584" s="16" t="inlineStr">
        <is>
          <t>Codeforces</t>
        </is>
      </c>
      <c r="E584" s="16" t="inlineStr">
        <is>
          <t>CF 1500</t>
        </is>
      </c>
      <c r="H584" s="21">
        <f>IF(G584=TRUE,IF(H584="",TODAY(),H584),"")</f>
        <v/>
      </c>
      <c r="K584" s="16" t="inlineStr">
        <is>
          <t>graphs</t>
        </is>
      </c>
      <c r="L584" s="16" t="inlineStr">
        <is>
          <t>https://codeforces.com/problemset?order=BY_SOLVED_DESC&amp;tags=graphs,1500-1500</t>
        </is>
      </c>
      <c r="M584" s="16" t="inlineStr">
        <is>
          <t>Most-solved unsolved: graphs · 1500</t>
        </is>
      </c>
    </row>
    <row r="585">
      <c r="C585" s="16" t="inlineStr">
        <is>
          <t>LeetCode</t>
        </is>
      </c>
      <c r="E585" s="16" t="inlineStr">
        <is>
          <t>Medium</t>
        </is>
      </c>
      <c r="H585" s="21">
        <f>IF(G585=TRUE,IF(H585="",TODAY(),H585),"")</f>
        <v/>
      </c>
      <c r="K585" s="16" t="inlineStr">
        <is>
          <t>Array, Matrix</t>
        </is>
      </c>
      <c r="L585" s="16" t="inlineStr">
        <is>
          <t>queens-that-can-attack-the-king</t>
        </is>
      </c>
    </row>
    <row r="586">
      <c r="C586" s="16" t="inlineStr">
        <is>
          <t>LeetCode</t>
        </is>
      </c>
      <c r="E586" s="16" t="inlineStr">
        <is>
          <t>Medium</t>
        </is>
      </c>
      <c r="H586" s="21">
        <f>IF(G586=TRUE,IF(H586="",TODAY(),H586),"")</f>
        <v/>
      </c>
      <c r="K586" s="16" t="inlineStr">
        <is>
          <t>Array, String</t>
        </is>
      </c>
      <c r="L586" s="16" t="inlineStr">
        <is>
          <t>count-vowel-strings-in-ranges</t>
        </is>
      </c>
    </row>
    <row r="587">
      <c r="C587" s="16" t="inlineStr">
        <is>
          <t>SQL</t>
        </is>
      </c>
      <c r="E587" s="16" t="inlineStr">
        <is>
          <t>Easy</t>
        </is>
      </c>
      <c r="H587" s="21">
        <f>IF(G587=TRUE,IF(H587="",TODAY(),H587),"")</f>
        <v/>
      </c>
      <c r="K587" s="16" t="inlineStr">
        <is>
          <t>SQL</t>
        </is>
      </c>
      <c r="L587" s="16" t="inlineStr">
        <is>
          <t>classes-with-at-least-5-students</t>
        </is>
      </c>
      <c r="M587" s="16" t="inlineStr">
        <is>
          <t>Classes With at Least 5 Students (Round 2)</t>
        </is>
      </c>
    </row>
    <row r="588">
      <c r="C588" s="16" t="inlineStr">
        <is>
          <t>LeetCode</t>
        </is>
      </c>
      <c r="E588" s="16" t="inlineStr">
        <is>
          <t>Medium</t>
        </is>
      </c>
      <c r="H588" s="21">
        <f>IF(G588=TRUE,IF(H588="",TODAY(),H588),"")</f>
        <v/>
      </c>
      <c r="K588" s="16" t="inlineStr">
        <is>
          <t>Array, Binary Search</t>
        </is>
      </c>
      <c r="L588" s="16" t="inlineStr">
        <is>
          <t>maximum-candies-allocated-to-k-children</t>
        </is>
      </c>
    </row>
    <row r="589">
      <c r="C589" s="16" t="inlineStr">
        <is>
          <t>LeetCode</t>
        </is>
      </c>
      <c r="E589" s="16" t="inlineStr">
        <is>
          <t>Medium</t>
        </is>
      </c>
      <c r="H589" s="21">
        <f>IF(G589=TRUE,IF(H589="",TODAY(),H589),"")</f>
        <v/>
      </c>
      <c r="K589" s="16" t="inlineStr">
        <is>
          <t>Array, Depth-First Search</t>
        </is>
      </c>
      <c r="L589" s="16" t="inlineStr">
        <is>
          <t>array-nesting</t>
        </is>
      </c>
    </row>
    <row r="590">
      <c r="C590" s="16" t="inlineStr">
        <is>
          <t>SQL</t>
        </is>
      </c>
      <c r="E590" s="16" t="inlineStr">
        <is>
          <t>Easy</t>
        </is>
      </c>
      <c r="H590" s="21">
        <f>IF(G590=TRUE,IF(H590="",TODAY(),H590),"")</f>
        <v/>
      </c>
      <c r="K590" s="16" t="inlineStr">
        <is>
          <t>SQL</t>
        </is>
      </c>
      <c r="L590" s="16" t="inlineStr">
        <is>
          <t>percentage-of-users-attended-a-contest</t>
        </is>
      </c>
      <c r="M590" s="16" t="inlineStr">
        <is>
          <t>Percentage of Users Attended a Contest (Round 2)</t>
        </is>
      </c>
    </row>
    <row r="591">
      <c r="C591" s="16" t="inlineStr">
        <is>
          <t>LeetCode</t>
        </is>
      </c>
      <c r="E591" s="16" t="inlineStr">
        <is>
          <t>Medium</t>
        </is>
      </c>
      <c r="H591" s="21">
        <f>IF(G591=TRUE,IF(H591="",TODAY(),H591),"")</f>
        <v/>
      </c>
      <c r="K591" s="16" t="inlineStr">
        <is>
          <t>Array, Dynamic Programming</t>
        </is>
      </c>
      <c r="L591" s="16" t="inlineStr">
        <is>
          <t>minimum-sideway-jumps</t>
        </is>
      </c>
    </row>
    <row r="592">
      <c r="C592" s="16" t="inlineStr">
        <is>
          <t>LeetCode</t>
        </is>
      </c>
      <c r="E592" s="16" t="inlineStr">
        <is>
          <t>Medium</t>
        </is>
      </c>
      <c r="H592" s="21">
        <f>IF(G592=TRUE,IF(H592="",TODAY(),H592),"")</f>
        <v/>
      </c>
      <c r="K592" s="16" t="inlineStr">
        <is>
          <t>String, Stack</t>
        </is>
      </c>
      <c r="L592" s="16" t="inlineStr">
        <is>
          <t>decoded-string-at-index</t>
        </is>
      </c>
    </row>
    <row r="593">
      <c r="C593" s="16" t="inlineStr">
        <is>
          <t>SQL</t>
        </is>
      </c>
      <c r="E593" s="16" t="inlineStr">
        <is>
          <t>Easy</t>
        </is>
      </c>
      <c r="H593" s="21">
        <f>IF(G593=TRUE,IF(H593="",TODAY(),H593),"")</f>
        <v/>
      </c>
      <c r="K593" s="16" t="inlineStr">
        <is>
          <t>SQL</t>
        </is>
      </c>
      <c r="L593" s="16" t="inlineStr">
        <is>
          <t>customer-placing-the-largest-number-of-orders</t>
        </is>
      </c>
      <c r="M593" s="16" t="inlineStr">
        <is>
          <t>Customer Placing the Largest Number of Orders (Round 2)</t>
        </is>
      </c>
    </row>
    <row r="594">
      <c r="C594" s="16" t="inlineStr">
        <is>
          <t>LeetCode</t>
        </is>
      </c>
      <c r="E594" s="16" t="inlineStr">
        <is>
          <t>Medium</t>
        </is>
      </c>
      <c r="H594" s="21">
        <f>IF(G594=TRUE,IF(H594="",TODAY(),H594),"")</f>
        <v/>
      </c>
      <c r="K594" s="16" t="inlineStr">
        <is>
          <t>Tree, Breadth-First Search</t>
        </is>
      </c>
      <c r="L594" s="16" t="inlineStr">
        <is>
          <t>binary-tree-level-order-traversal-ii</t>
        </is>
      </c>
      <c r="M594" s="16" t="inlineStr">
        <is>
          <t>Binary Tree Level Order Traversal II</t>
        </is>
      </c>
    </row>
    <row r="595">
      <c r="C595" s="16" t="inlineStr">
        <is>
          <t>LeetCode</t>
        </is>
      </c>
      <c r="E595" s="16" t="inlineStr">
        <is>
          <t>Medium</t>
        </is>
      </c>
      <c r="H595" s="21">
        <f>IF(G595=TRUE,IF(H595="",TODAY(),H595),"")</f>
        <v/>
      </c>
      <c r="K595" s="16" t="inlineStr">
        <is>
          <t>Array, Two Pointers</t>
        </is>
      </c>
      <c r="L595" s="16" t="inlineStr">
        <is>
          <t>rotating-the-box</t>
        </is>
      </c>
    </row>
    <row r="596">
      <c r="C596" s="16" t="inlineStr">
        <is>
          <t>SQL</t>
        </is>
      </c>
      <c r="E596" s="16" t="inlineStr">
        <is>
          <t>Easy</t>
        </is>
      </c>
      <c r="H596" s="21">
        <f>IF(G596=TRUE,IF(H596="",TODAY(),H596),"")</f>
        <v/>
      </c>
      <c r="K596" s="16" t="inlineStr">
        <is>
          <t>SQL</t>
        </is>
      </c>
      <c r="L596" s="16" t="inlineStr">
        <is>
          <t>queries-quality-and-percentage</t>
        </is>
      </c>
      <c r="M596" s="16" t="inlineStr">
        <is>
          <t>Queries Quality and Percentage (Round 2)</t>
        </is>
      </c>
    </row>
    <row r="597">
      <c r="C597" s="16" t="inlineStr">
        <is>
          <t>LeetCode</t>
        </is>
      </c>
      <c r="E597" s="16" t="inlineStr">
        <is>
          <t>Medium</t>
        </is>
      </c>
      <c r="H597" s="21">
        <f>IF(G597=TRUE,IF(H597="",TODAY(),H597),"")</f>
        <v/>
      </c>
      <c r="K597" s="16" t="inlineStr">
        <is>
          <t>Array, Stack</t>
        </is>
      </c>
      <c r="L597" s="16" t="inlineStr">
        <is>
          <t>the-number-of-weak-characters-in-the-game</t>
        </is>
      </c>
    </row>
    <row r="598">
      <c r="C598" s="16" t="inlineStr">
        <is>
          <t>LeetCode</t>
        </is>
      </c>
      <c r="E598" s="16" t="inlineStr">
        <is>
          <t>Medium</t>
        </is>
      </c>
      <c r="H598" s="21">
        <f>IF(G598=TRUE,IF(H598="",TODAY(),H598),"")</f>
        <v/>
      </c>
      <c r="K598" s="16" t="inlineStr">
        <is>
          <t>Tree, Depth-First Search</t>
        </is>
      </c>
      <c r="L598" s="16" t="inlineStr">
        <is>
          <t>path-sum-iii</t>
        </is>
      </c>
      <c r="M598" s="16" t="inlineStr">
        <is>
          <t>Path Sum III</t>
        </is>
      </c>
    </row>
    <row r="599">
      <c r="C599" s="16" t="inlineStr">
        <is>
          <t>SQL</t>
        </is>
      </c>
      <c r="E599" s="16" t="inlineStr">
        <is>
          <t>Easy</t>
        </is>
      </c>
      <c r="H599" s="21">
        <f>IF(G599=TRUE,IF(H599="",TODAY(),H599),"")</f>
        <v/>
      </c>
      <c r="K599" s="16" t="inlineStr">
        <is>
          <t>SQL</t>
        </is>
      </c>
      <c r="L599" s="16" t="inlineStr">
        <is>
          <t>calculate-special-bonus</t>
        </is>
      </c>
      <c r="M599" s="16" t="inlineStr">
        <is>
          <t>Calculate Special Bonus (Round 2)</t>
        </is>
      </c>
    </row>
    <row r="600">
      <c r="C600" s="16" t="inlineStr">
        <is>
          <t>LeetCode</t>
        </is>
      </c>
      <c r="E600" s="16" t="inlineStr">
        <is>
          <t>Medium</t>
        </is>
      </c>
      <c r="H600" s="21">
        <f>IF(G600=TRUE,IF(H600="",TODAY(),H600),"")</f>
        <v/>
      </c>
      <c r="K600" s="16" t="inlineStr">
        <is>
          <t>Math, String</t>
        </is>
      </c>
      <c r="L600" s="16" t="inlineStr">
        <is>
          <t>different-ways-to-add-parentheses</t>
        </is>
      </c>
    </row>
    <row r="601">
      <c r="C601" s="16" t="inlineStr">
        <is>
          <t>LeetCode</t>
        </is>
      </c>
      <c r="E601" s="16" t="inlineStr">
        <is>
          <t>Medium</t>
        </is>
      </c>
      <c r="H601" s="21">
        <f>IF(G601=TRUE,IF(H601="",TODAY(),H601),"")</f>
        <v/>
      </c>
      <c r="K601" s="16" t="inlineStr">
        <is>
          <t>Array, Hash Table</t>
        </is>
      </c>
      <c r="L601" s="16" t="inlineStr">
        <is>
          <t>maximum-total-damage-with-spell-casting</t>
        </is>
      </c>
    </row>
    <row r="602">
      <c r="C602" s="16" t="inlineStr">
        <is>
          <t>SQL</t>
        </is>
      </c>
      <c r="E602" s="16" t="inlineStr">
        <is>
          <t>Easy</t>
        </is>
      </c>
      <c r="H602" s="21">
        <f>IF(G602=TRUE,IF(H602="",TODAY(),H602),"")</f>
        <v/>
      </c>
      <c r="K602" s="16" t="inlineStr">
        <is>
          <t>SQL</t>
        </is>
      </c>
      <c r="L602" s="16" t="inlineStr">
        <is>
          <t>user-activity-for-the-past-30-days-i</t>
        </is>
      </c>
      <c r="M602" s="16" t="inlineStr">
        <is>
          <t>User Activity for the Past 30 Days I (Round 2)</t>
        </is>
      </c>
    </row>
    <row r="603">
      <c r="C603" s="16" t="inlineStr">
        <is>
          <t>LeetCode</t>
        </is>
      </c>
      <c r="E603" s="16" t="inlineStr">
        <is>
          <t>Medium</t>
        </is>
      </c>
      <c r="H603" s="21">
        <f>IF(G603=TRUE,IF(H603="",TODAY(),H603),"")</f>
        <v/>
      </c>
      <c r="K603" s="16" t="inlineStr">
        <is>
          <t>Array, Two Pointers</t>
        </is>
      </c>
      <c r="L603" s="16" t="inlineStr">
        <is>
          <t>most-profit-assigning-work</t>
        </is>
      </c>
    </row>
    <row r="604">
      <c r="C604" s="16" t="inlineStr">
        <is>
          <t>LeetCode</t>
        </is>
      </c>
      <c r="E604" s="16" t="inlineStr">
        <is>
          <t>Medium</t>
        </is>
      </c>
      <c r="H604" s="21">
        <f>IF(G604=TRUE,IF(H604="",TODAY(),H604),"")</f>
        <v/>
      </c>
      <c r="K604" s="16" t="inlineStr">
        <is>
          <t>Math, String</t>
        </is>
      </c>
      <c r="L604" s="16" t="inlineStr">
        <is>
          <t>vowels-of-all-substrings</t>
        </is>
      </c>
    </row>
    <row r="605">
      <c r="C605" s="16" t="inlineStr">
        <is>
          <t>SQL</t>
        </is>
      </c>
      <c r="E605" s="16" t="inlineStr">
        <is>
          <t>Easy</t>
        </is>
      </c>
      <c r="H605" s="21">
        <f>IF(G605=TRUE,IF(H605="",TODAY(),H605),"")</f>
        <v/>
      </c>
      <c r="K605" s="16" t="inlineStr">
        <is>
          <t>SQL</t>
        </is>
      </c>
      <c r="L605" s="16" t="inlineStr">
        <is>
          <t>project-employees-i</t>
        </is>
      </c>
      <c r="M605" s="16" t="inlineStr">
        <is>
          <t>Project Employees I (Round 2)</t>
        </is>
      </c>
    </row>
    <row r="606">
      <c r="C606" s="16" t="inlineStr">
        <is>
          <t>Codeforces</t>
        </is>
      </c>
      <c r="E606" s="16" t="inlineStr">
        <is>
          <t>CF 1600</t>
        </is>
      </c>
      <c r="H606" s="21">
        <f>IF(G606=TRUE,IF(H606="",TODAY(),H606),"")</f>
        <v/>
      </c>
      <c r="K606" s="16" t="inlineStr">
        <is>
          <t>number theory</t>
        </is>
      </c>
      <c r="L606" s="16" t="inlineStr">
        <is>
          <t>https://codeforces.com/problemset?order=BY_SOLVED_DESC&amp;tags=number%20theory,1600-1600</t>
        </is>
      </c>
      <c r="M606" s="16" t="inlineStr">
        <is>
          <t>Most-solved unsolved: number theory · 1600</t>
        </is>
      </c>
    </row>
    <row r="607">
      <c r="C607" s="16" t="inlineStr">
        <is>
          <t>Codeforces</t>
        </is>
      </c>
      <c r="E607" s="16" t="inlineStr">
        <is>
          <t>CF 1700</t>
        </is>
      </c>
      <c r="H607" s="21">
        <f>IF(G607=TRUE,IF(H607="",TODAY(),H607),"")</f>
        <v/>
      </c>
      <c r="K607" s="16" t="inlineStr">
        <is>
          <t>bitmasks</t>
        </is>
      </c>
      <c r="L607" s="16" t="inlineStr">
        <is>
          <t>https://codeforces.com/problemset?order=BY_SOLVED_DESC&amp;tags=bitmasks,1700-1700</t>
        </is>
      </c>
      <c r="M607" s="16" t="inlineStr">
        <is>
          <t>Most-solved unsolved: bitmasks · 1700</t>
        </is>
      </c>
    </row>
    <row r="608">
      <c r="C608" s="16" t="inlineStr">
        <is>
          <t>LeetCode</t>
        </is>
      </c>
      <c r="E608" s="16" t="inlineStr">
        <is>
          <t>Medium</t>
        </is>
      </c>
      <c r="H608" s="21">
        <f>IF(G608=TRUE,IF(H608="",TODAY(),H608),"")</f>
        <v/>
      </c>
      <c r="K608" s="16" t="inlineStr">
        <is>
          <t>Array, Dynamic Programming</t>
        </is>
      </c>
      <c r="L608" s="16" t="inlineStr">
        <is>
          <t>maximum-non-negative-product-in-a-matrix</t>
        </is>
      </c>
    </row>
    <row r="609">
      <c r="C609" s="16" t="inlineStr">
        <is>
          <t>LeetCode</t>
        </is>
      </c>
      <c r="E609" s="16" t="inlineStr">
        <is>
          <t>Medium</t>
        </is>
      </c>
      <c r="H609" s="21">
        <f>IF(G609=TRUE,IF(H609="",TODAY(),H609),"")</f>
        <v/>
      </c>
      <c r="K609" s="16" t="inlineStr">
        <is>
          <t>Math</t>
        </is>
      </c>
      <c r="L609" s="16" t="inlineStr">
        <is>
          <t>minimum-operations-to-make-array-equal</t>
        </is>
      </c>
    </row>
    <row r="610">
      <c r="C610" s="16" t="inlineStr">
        <is>
          <t>SQL</t>
        </is>
      </c>
      <c r="E610" s="16" t="inlineStr">
        <is>
          <t>Easy</t>
        </is>
      </c>
      <c r="H610" s="21">
        <f>IF(G610=TRUE,IF(H610="",TODAY(),H610),"")</f>
        <v/>
      </c>
      <c r="K610" s="16" t="inlineStr">
        <is>
          <t>SQL</t>
        </is>
      </c>
      <c r="L610" s="16" t="inlineStr">
        <is>
          <t>game-play-analysis-i</t>
        </is>
      </c>
      <c r="M610" s="16" t="inlineStr">
        <is>
          <t>Game Play Analysis I (Round 2)</t>
        </is>
      </c>
    </row>
    <row r="611">
      <c r="C611" s="16" t="inlineStr">
        <is>
          <t>LeetCode</t>
        </is>
      </c>
      <c r="E611" s="16" t="inlineStr">
        <is>
          <t>Medium</t>
        </is>
      </c>
      <c r="H611" s="21">
        <f>IF(G611=TRUE,IF(H611="",TODAY(),H611),"")</f>
        <v/>
      </c>
      <c r="K611" s="16" t="inlineStr">
        <is>
          <t>Array, Binary Search</t>
        </is>
      </c>
      <c r="L611" s="16" t="inlineStr">
        <is>
          <t>smallest-subarrays-with-maximum-bitwise-or</t>
        </is>
      </c>
    </row>
    <row r="612">
      <c r="C612" s="16" t="inlineStr">
        <is>
          <t>LeetCode</t>
        </is>
      </c>
      <c r="E612" s="16" t="inlineStr">
        <is>
          <t>Medium</t>
        </is>
      </c>
      <c r="H612" s="21">
        <f>IF(G612=TRUE,IF(H612="",TODAY(),H612),"")</f>
        <v/>
      </c>
      <c r="K612" s="16" t="inlineStr">
        <is>
          <t>Depth-First Search, Breadth-First Search</t>
        </is>
      </c>
      <c r="L612" s="16" t="inlineStr">
        <is>
          <t>count-unreachable-pairs-of-nodes-in-an-undirected-graph</t>
        </is>
      </c>
    </row>
    <row r="613">
      <c r="C613" s="16" t="inlineStr">
        <is>
          <t>SQL</t>
        </is>
      </c>
      <c r="E613" s="16" t="inlineStr">
        <is>
          <t>Easy</t>
        </is>
      </c>
      <c r="H613" s="21">
        <f>IF(G613=TRUE,IF(H613="",TODAY(),H613),"")</f>
        <v/>
      </c>
      <c r="K613" s="16" t="inlineStr">
        <is>
          <t>SQL</t>
        </is>
      </c>
      <c r="L613" s="16" t="inlineStr">
        <is>
          <t>fix-names-in-a-table</t>
        </is>
      </c>
      <c r="M613" s="16" t="inlineStr">
        <is>
          <t>Fix Names in a Table (Round 2)</t>
        </is>
      </c>
    </row>
    <row r="614">
      <c r="C614" s="16" t="inlineStr">
        <is>
          <t>LeetCode</t>
        </is>
      </c>
      <c r="E614" s="16" t="inlineStr">
        <is>
          <t>Medium</t>
        </is>
      </c>
      <c r="H614" s="21">
        <f>IF(G614=TRUE,IF(H614="",TODAY(),H614),"")</f>
        <v/>
      </c>
      <c r="K614" s="16" t="inlineStr">
        <is>
          <t>String, Backtracking</t>
        </is>
      </c>
      <c r="L614" s="16" t="inlineStr">
        <is>
          <t>iterator-for-combination</t>
        </is>
      </c>
    </row>
    <row r="615">
      <c r="C615" s="16" t="inlineStr">
        <is>
          <t>LeetCode</t>
        </is>
      </c>
      <c r="E615" s="16" t="inlineStr">
        <is>
          <t>Medium</t>
        </is>
      </c>
      <c r="H615" s="21">
        <f>IF(G615=TRUE,IF(H615="",TODAY(),H615),"")</f>
        <v/>
      </c>
      <c r="K615" s="16" t="inlineStr">
        <is>
          <t>Two Pointers, String</t>
        </is>
      </c>
      <c r="L615" s="16" t="inlineStr">
        <is>
          <t>separate-black-and-white-balls</t>
        </is>
      </c>
    </row>
    <row r="616">
      <c r="C616" s="16" t="inlineStr">
        <is>
          <t>SQL</t>
        </is>
      </c>
      <c r="E616" s="16" t="inlineStr">
        <is>
          <t>Easy</t>
        </is>
      </c>
      <c r="H616" s="21">
        <f>IF(G616=TRUE,IF(H616="",TODAY(),H616),"")</f>
        <v/>
      </c>
      <c r="K616" s="16" t="inlineStr">
        <is>
          <t>SQL</t>
        </is>
      </c>
      <c r="L616" s="16" t="inlineStr">
        <is>
          <t>biggest-single-number</t>
        </is>
      </c>
      <c r="M616" s="16" t="inlineStr">
        <is>
          <t>Biggest Single Number (Round 2)</t>
        </is>
      </c>
    </row>
    <row r="617">
      <c r="C617" s="16" t="inlineStr">
        <is>
          <t>LeetCode</t>
        </is>
      </c>
      <c r="E617" s="16" t="inlineStr">
        <is>
          <t>Medium</t>
        </is>
      </c>
      <c r="H617" s="21">
        <f>IF(G617=TRUE,IF(H617="",TODAY(),H617),"")</f>
        <v/>
      </c>
      <c r="K617" s="16" t="inlineStr">
        <is>
          <t>Hash Table, String</t>
        </is>
      </c>
      <c r="L617" s="16" t="inlineStr">
        <is>
          <t>number-of-good-ways-to-split-a-string</t>
        </is>
      </c>
    </row>
    <row r="618">
      <c r="C618" s="16" t="inlineStr">
        <is>
          <t>LeetCode</t>
        </is>
      </c>
      <c r="E618" s="16" t="inlineStr">
        <is>
          <t>Medium</t>
        </is>
      </c>
      <c r="H618" s="21">
        <f>IF(G618=TRUE,IF(H618="",TODAY(),H618),"")</f>
        <v/>
      </c>
      <c r="K618" s="16" t="inlineStr">
        <is>
          <t>Array, Hash Table</t>
        </is>
      </c>
      <c r="L618" s="16" t="inlineStr">
        <is>
          <t>length-of-longest-subarray-with-at-most-k-frequency</t>
        </is>
      </c>
    </row>
    <row r="619">
      <c r="C619" s="16" t="inlineStr">
        <is>
          <t>SQL</t>
        </is>
      </c>
      <c r="E619" s="16" t="inlineStr">
        <is>
          <t>Easy</t>
        </is>
      </c>
      <c r="H619" s="21">
        <f>IF(G619=TRUE,IF(H619="",TODAY(),H619),"")</f>
        <v/>
      </c>
      <c r="K619" s="16" t="inlineStr">
        <is>
          <t>SQL</t>
        </is>
      </c>
      <c r="L619" s="16" t="inlineStr">
        <is>
          <t>rearrange-products-table</t>
        </is>
      </c>
      <c r="M619" s="16" t="inlineStr">
        <is>
          <t>Rearrange Products Table (Round 2)</t>
        </is>
      </c>
    </row>
    <row r="620">
      <c r="C620" s="16" t="inlineStr">
        <is>
          <t>LeetCode</t>
        </is>
      </c>
      <c r="E620" s="16" t="inlineStr">
        <is>
          <t>Medium</t>
        </is>
      </c>
      <c r="H620" s="21">
        <f>IF(G620=TRUE,IF(H620="",TODAY(),H620),"")</f>
        <v/>
      </c>
      <c r="K620" s="16" t="inlineStr">
        <is>
          <t>Array, Two Pointers</t>
        </is>
      </c>
      <c r="L620" s="16" t="inlineStr">
        <is>
          <t>adding-spaces-to-a-string</t>
        </is>
      </c>
    </row>
    <row r="621">
      <c r="C621" s="16" t="inlineStr">
        <is>
          <t>LeetCode</t>
        </is>
      </c>
      <c r="E621" s="16" t="inlineStr">
        <is>
          <t>Medium</t>
        </is>
      </c>
      <c r="H621" s="21">
        <f>IF(G621=TRUE,IF(H621="",TODAY(),H621),"")</f>
        <v/>
      </c>
      <c r="K621" s="16" t="inlineStr">
        <is>
          <t>Array, Greedy</t>
        </is>
      </c>
      <c r="L621" s="16" t="inlineStr">
        <is>
          <t>minimum-difference-between-largest-and-smallest-value-in-three-moves</t>
        </is>
      </c>
    </row>
    <row r="622">
      <c r="C622" s="16" t="inlineStr">
        <is>
          <t>SQL</t>
        </is>
      </c>
      <c r="E622" s="16" t="inlineStr">
        <is>
          <t>Easy</t>
        </is>
      </c>
      <c r="H622" s="21">
        <f>IF(G622=TRUE,IF(H622="",TODAY(),H622),"")</f>
        <v/>
      </c>
      <c r="K622" s="16" t="inlineStr">
        <is>
          <t>SQL</t>
        </is>
      </c>
      <c r="L622" s="16" t="inlineStr">
        <is>
          <t>the-number-of-employees-which-report-to-each-employee</t>
        </is>
      </c>
      <c r="M622" s="16" t="inlineStr">
        <is>
          <t>The Number of Employees Which Report to Each Employee (Round 2)</t>
        </is>
      </c>
    </row>
    <row r="623">
      <c r="C623" s="16" t="inlineStr">
        <is>
          <t>LeetCode</t>
        </is>
      </c>
      <c r="E623" s="16" t="inlineStr">
        <is>
          <t>Medium</t>
        </is>
      </c>
      <c r="H623" s="21">
        <f>IF(G623=TRUE,IF(H623="",TODAY(),H623),"")</f>
        <v/>
      </c>
      <c r="K623" s="16" t="inlineStr">
        <is>
          <t>Hash Table, Design</t>
        </is>
      </c>
      <c r="L623" s="16" t="inlineStr">
        <is>
          <t>stock-price-fluctuation</t>
        </is>
      </c>
    </row>
    <row r="624">
      <c r="C624" s="16" t="inlineStr">
        <is>
          <t>LeetCode</t>
        </is>
      </c>
      <c r="E624" s="16" t="inlineStr">
        <is>
          <t>Medium</t>
        </is>
      </c>
      <c r="H624" s="21">
        <f>IF(G624=TRUE,IF(H624="",TODAY(),H624),"")</f>
        <v/>
      </c>
      <c r="K624" s="16" t="inlineStr">
        <is>
          <t>Array, Two Pointers</t>
        </is>
      </c>
      <c r="L624" s="16" t="inlineStr">
        <is>
          <t>number-of-subarrays-with-bounded-maximum</t>
        </is>
      </c>
    </row>
    <row r="625">
      <c r="C625" s="16" t="inlineStr">
        <is>
          <t>SQL</t>
        </is>
      </c>
      <c r="E625" s="16" t="inlineStr">
        <is>
          <t>Easy</t>
        </is>
      </c>
      <c r="H625" s="21">
        <f>IF(G625=TRUE,IF(H625="",TODAY(),H625),"")</f>
        <v/>
      </c>
      <c r="K625" s="16" t="inlineStr">
        <is>
          <t>SQL</t>
        </is>
      </c>
      <c r="L625" s="16" t="inlineStr">
        <is>
          <t>primary-department-for-each-employee</t>
        </is>
      </c>
      <c r="M625" s="16" t="inlineStr">
        <is>
          <t>Primary Department for Each Employee (Round 2)</t>
        </is>
      </c>
    </row>
  </sheetData>
  <autoFilter ref="A1:K625"/>
  <conditionalFormatting sqref="A2:J625">
    <cfRule type="expression" priority="1" dxfId="0" stopIfTrue="1">
      <formula>$G2=TRUE</formula>
    </cfRule>
    <cfRule type="expression" priority="2" dxfId="1" stopIfTrue="1">
      <formula>$B2="▶ Today"</formula>
    </cfRule>
    <cfRule type="expression" priority="3" dxfId="2" stopIfTrue="1">
      <formula>$B2="Tomorrow"</formula>
    </cfRule>
  </conditionalFormatting>
  <conditionalFormatting sqref="C2:C625">
    <cfRule type="expression" priority="4" dxfId="3">
      <formula>$C2="SQL"</formula>
    </cfRule>
    <cfRule type="expression" priority="5" dxfId="4">
      <formula>$C2="Codeforces"</formula>
    </cfRule>
    <cfRule type="expression" priority="6" dxfId="5">
      <formula>$C2="LeetCode"</formula>
    </cfRule>
  </conditionalFormatting>
  <conditionalFormatting sqref="E2:E625">
    <cfRule type="expression" priority="7" dxfId="6">
      <formula>$E2="Hard"</formula>
    </cfRule>
    <cfRule type="expression" priority="8" dxfId="7">
      <formula>$E2="Medium"</formula>
    </cfRule>
    <cfRule type="expression" priority="9" dxfId="8">
      <formula>$E2="Easy"</formula>
    </cfRule>
  </conditionalFormatting>
  <dataValidations count="1">
    <dataValidation sqref="I2:I625" showDropDown="0" showInputMessage="0" showErrorMessage="0" allowBlank="1" type="list">
      <formula1>"Solo,Hint,Editorial"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/>
    <row r="2">
      <c r="B2" s="22" t="inlineStr">
        <is>
          <t>How to use this tracker</t>
        </is>
      </c>
    </row>
    <row r="3"/>
    <row r="4">
      <c r="B4" s="23" t="inlineStr">
        <is>
          <t>One-time setup (1 minute)</t>
        </is>
      </c>
    </row>
    <row r="5">
      <c r="B5" s="24" t="inlineStr">
        <is>
          <t>1</t>
        </is>
      </c>
      <c r="C5" s="25" t="inlineStr">
        <is>
          <t>Go to the Plan tab, click the column letter G (Done), then Insert → Checkbox.</t>
        </is>
      </c>
    </row>
    <row r="6">
      <c r="B6" s="24" t="inlineStr">
        <is>
          <t>2</t>
        </is>
      </c>
      <c r="C6" s="25" t="inlineStr">
        <is>
          <t>File → Settings → Calculation → Iterative calculation: ON. This lets 'Done on' remember the day you ticked a box.</t>
        </is>
      </c>
    </row>
    <row r="7">
      <c r="B7" s="23" t="inlineStr">
        <is>
          <t>Every day</t>
        </is>
      </c>
    </row>
    <row r="8">
      <c r="B8" s="24" t="inlineStr">
        <is>
          <t>1</t>
        </is>
      </c>
      <c r="C8" s="25" t="inlineStr">
        <is>
          <t>Open the Today tab. It lists today's minimum: 2 LeetCode + 1 SQL (+2 Codeforces on Saturdays).</t>
        </is>
      </c>
    </row>
    <row r="9">
      <c r="B9" s="24" t="inlineStr">
        <is>
          <t>2</t>
        </is>
      </c>
      <c r="C9" s="25" t="inlineStr">
        <is>
          <t>Click a problem name to open it on LeetCode / Codeforces. Topic tags are hidden on purpose.</t>
        </is>
      </c>
    </row>
    <row r="10">
      <c r="B10" s="24" t="inlineStr">
        <is>
          <t>3</t>
        </is>
      </c>
      <c r="C10" s="25" t="inlineStr">
        <is>
          <t>When solved, tick it in the Plan tab (green rows = today) and pick Solo / Hint / Editorial.</t>
        </is>
      </c>
    </row>
    <row r="11">
      <c r="B11" s="24" t="inlineStr">
        <is>
          <t>4</t>
        </is>
      </c>
      <c r="C11" s="25" t="inlineStr">
        <is>
          <t>Got time? Keep ticking the next rows in Plan. Everything after slides one step earlier, so tomorrow still has a full minimum.</t>
        </is>
      </c>
    </row>
    <row r="12">
      <c r="B12" s="24" t="inlineStr">
        <is>
          <t>5</t>
        </is>
      </c>
      <c r="C12" s="25" t="inlineStr">
        <is>
          <t>Missed a day? Nothing piles up. Unfinished problems simply roll to today.</t>
        </is>
      </c>
    </row>
    <row r="13">
      <c r="B13" s="24" t="inlineStr">
        <is>
          <t>6</t>
        </is>
      </c>
      <c r="C13" s="25" t="inlineStr">
        <is>
          <t>Problems marked Hint or Editorial come back on the Today tab after 3, 7 and 21 days.</t>
        </is>
      </c>
    </row>
    <row r="14">
      <c r="B14" s="23" t="inlineStr">
        <is>
          <t>Tips</t>
        </is>
      </c>
    </row>
    <row r="15">
      <c r="B15" s="24" t="inlineStr">
        <is>
          <t>•</t>
        </is>
      </c>
      <c r="C15" s="25" t="inlineStr">
        <is>
          <t>Topic (spoiler) column: the text is hidden. Click the cell and read it in the formula bar after you solve.</t>
        </is>
      </c>
    </row>
    <row r="16">
      <c r="B16" s="24" t="inlineStr">
        <is>
          <t>•</t>
        </is>
      </c>
      <c r="C16" s="25" t="inlineStr">
        <is>
          <t>Change daily counts in the Settings tab. Roadmap tab has the phase plan.</t>
        </is>
      </c>
    </row>
    <row r="17">
      <c r="B17" s="24" t="inlineStr">
        <is>
          <t>•</t>
        </is>
      </c>
      <c r="C17" s="25" t="inlineStr">
        <is>
          <t>Already solved a problem? Tick it anyway and mark Solo, or replace the row with a new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50" customWidth="1" min="4" max="4"/>
    <col width="16" customWidth="1" min="5" max="5"/>
    <col width="22" customWidth="1" min="6" max="6"/>
    <col width="30" customWidth="1" min="7" max="7"/>
  </cols>
  <sheetData>
    <row r="1"/>
    <row r="2">
      <c r="B2" s="22" t="inlineStr">
        <is>
          <t>Roadmap · Oct 2026 → May 2027</t>
        </is>
      </c>
    </row>
    <row r="3"/>
    <row r="4">
      <c r="B4" s="5" t="inlineStr">
        <is>
          <t>Phase</t>
        </is>
      </c>
      <c r="C4" s="5" t="inlineStr">
        <is>
          <t>Dates</t>
        </is>
      </c>
      <c r="D4" s="5" t="inlineStr">
        <is>
          <t>LeetCode</t>
        </is>
      </c>
      <c r="E4" s="5" t="inlineStr">
        <is>
          <t>Codeforces (Sat)</t>
        </is>
      </c>
      <c r="F4" s="5" t="inlineStr">
        <is>
          <t>SQL</t>
        </is>
      </c>
      <c r="G4" s="5" t="inlineStr">
        <is>
          <t>Goal</t>
        </is>
      </c>
    </row>
    <row r="5" ht="48" customHeight="1">
      <c r="B5" s="26" t="inlineStr">
        <is>
          <t>1 · Unseen Mediums</t>
        </is>
      </c>
      <c r="C5" s="27" t="inlineStr">
        <is>
          <t>Oct 23 – Dec 27</t>
        </is>
      </c>
      <c r="D5" s="27" t="inlineStr">
        <is>
          <t>Random Mediums from the most-asked OA topics, tags hidden. No DP yet.</t>
        </is>
      </c>
      <c r="E5" s="27" t="inlineStr">
        <is>
          <t>1200–1300</t>
        </is>
      </c>
      <c r="F5" s="27" t="inlineStr">
        <is>
          <t>Easy → Medium</t>
        </is>
      </c>
      <c r="G5" s="27" t="inlineStr">
        <is>
          <t>Solve a random Medium solo in &lt; 30 min</t>
        </is>
      </c>
    </row>
    <row r="6" ht="48" customHeight="1">
      <c r="B6" s="26" t="inlineStr">
        <is>
          <t>2 · Medium-Hard</t>
        </is>
      </c>
      <c r="C6" s="27" t="inlineStr">
        <is>
          <t>Dec 28 – Feb 28</t>
        </is>
      </c>
      <c r="D6" s="27" t="inlineStr">
        <is>
          <t>70% Medium / 30% Hard. Common DP patterns start (about 1 in 4).</t>
        </is>
      </c>
      <c r="E6" s="27" t="inlineStr">
        <is>
          <t>1400–1500</t>
        </is>
      </c>
      <c r="F6" s="27" t="inlineStr">
        <is>
          <t>Medium</t>
        </is>
      </c>
      <c r="G6" s="27" t="inlineStr">
        <is>
          <t>Hards feel approachable</t>
        </is>
      </c>
    </row>
    <row r="7" ht="48" customHeight="1">
      <c r="B7" s="26" t="inlineStr">
        <is>
          <t>3 · OA Simulation</t>
        </is>
      </c>
      <c r="C7" s="27" t="inlineStr">
        <is>
          <t>Mar 1 – Apr 15</t>
        </is>
      </c>
      <c r="D7" s="27" t="inlineStr">
        <is>
          <t>50% Medium / 50% Hard. Twice a week, do 3 in 90 min with no hints.</t>
        </is>
      </c>
      <c r="E7" s="27" t="inlineStr">
        <is>
          <t>1500–1700</t>
        </is>
      </c>
      <c r="F7" s="27" t="inlineStr">
        <is>
          <t>Medium/Hard, then round 2</t>
        </is>
      </c>
      <c r="G7" s="27" t="inlineStr">
        <is>
          <t>Pass a 90-min OA mock</t>
        </is>
      </c>
    </row>
    <row r="8" ht="48" customHeight="1">
      <c r="B8" s="26" t="inlineStr">
        <is>
          <t>4 · Revision</t>
        </is>
      </c>
      <c r="C8" s="27" t="inlineStr">
        <is>
          <t>Apr 16 – May 1</t>
        </is>
      </c>
      <c r="D8" s="27" t="inlineStr">
        <is>
          <t>Mediums plus the revisit queue. No new topics.</t>
        </is>
      </c>
      <c r="E8" s="27" t="inlineStr">
        <is>
          <t>1600</t>
        </is>
      </c>
      <c r="F8" s="27" t="inlineStr">
        <is>
          <t>Round 2</t>
        </is>
      </c>
      <c r="G8" s="27" t="inlineStr">
        <is>
          <t>Calm and sharp</t>
        </is>
      </c>
    </row>
    <row r="9"/>
    <row r="10">
      <c r="B10" s="23" t="inlineStr">
        <is>
          <t>Rules for every new problem</t>
        </is>
      </c>
    </row>
    <row r="11">
      <c r="B11" s="16" t="inlineStr">
        <is>
          <t>1.</t>
        </is>
      </c>
      <c r="C11" s="16" t="inlineStr">
        <is>
          <t>Read it and write down the constraints before thinking of an approach.</t>
        </is>
      </c>
    </row>
    <row r="12">
      <c r="B12" s="16" t="inlineStr">
        <is>
          <t>2.</t>
        </is>
      </c>
      <c r="C12" s="16" t="inlineStr">
        <is>
          <t>Think for 25 min before any hint: brute force → why it is slow → what to optimise.</t>
        </is>
      </c>
    </row>
    <row r="13">
      <c r="B13" s="16" t="inlineStr">
        <is>
          <t>3.</t>
        </is>
      </c>
      <c r="C13" s="16" t="inlineStr">
        <is>
          <t>Write a one-line key insight. That line is what you revise.</t>
        </is>
      </c>
    </row>
    <row r="14">
      <c r="B14" s="16" t="inlineStr">
        <is>
          <t>4.</t>
        </is>
      </c>
      <c r="C14" s="16" t="inlineStr">
        <is>
          <t>Sunday: LeetCode Weekly Contest (8:00 AM IST). Upsolve what you missed.</t>
        </is>
      </c>
    </row>
  </sheetData>
  <mergeCells count="4">
    <mergeCell ref="C13:G13"/>
    <mergeCell ref="C14:G14"/>
    <mergeCell ref="C12:G12"/>
    <mergeCell ref="C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</cols>
  <sheetData>
    <row r="1">
      <c r="A1" s="22" t="inlineStr">
        <is>
          <t>Settings</t>
        </is>
      </c>
    </row>
    <row r="2">
      <c r="A2" s="28" t="inlineStr">
        <is>
          <t>Change the blue numbers. The whole schedule re-flows instantly.</t>
        </is>
      </c>
    </row>
    <row r="3"/>
    <row r="4">
      <c r="A4" s="29" t="inlineStr">
        <is>
          <t>LeetCode problems per day</t>
        </is>
      </c>
      <c r="B4" s="30" t="n">
        <v>2</v>
      </c>
      <c r="C4" s="28" t="inlineStr">
        <is>
          <t>Your daily minimum</t>
        </is>
      </c>
    </row>
    <row r="5">
      <c r="A5" s="29" t="inlineStr">
        <is>
          <t>SQL problems per day</t>
        </is>
      </c>
      <c r="B5" s="30" t="n">
        <v>1</v>
      </c>
      <c r="C5" s="28" t="inlineStr"/>
    </row>
    <row r="6">
      <c r="A6" s="29" t="inlineStr">
        <is>
          <t>Codeforces problems per week (Saturday)</t>
        </is>
      </c>
      <c r="B6" s="30" t="n">
        <v>2</v>
      </c>
      <c r="C6" s="28" t="inlineStr"/>
    </row>
    <row r="7"/>
    <row r="8">
      <c r="A8" s="29" t="inlineStr">
        <is>
          <t>Placement date</t>
        </is>
      </c>
      <c r="B8" s="31" t="n">
        <v>46508</v>
      </c>
    </row>
    <row r="9"/>
    <row r="10">
      <c r="A10" s="32" t="inlineStr">
        <is>
          <t>Problem sources: LeetCode problems are free (non-premium), well-liked, and exclude the NeetCode 150/250 lists you have likely already done. SQL = every free LeetCode database problem, then a second round of re-solving. Codeforces links open the problemset filtered by topic and rating; solve the first one you haven't solved.</t>
        </is>
      </c>
    </row>
    <row r="11"/>
    <row r="12"/>
  </sheetData>
  <mergeCells count="1">
    <mergeCell ref="A10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2026-10-23T10:32:11Z</dcterms:created>
  <dcterms:modified xmlns:dcterms="http://purl.org/dc/terms/" xmlns:xsi="http://www.w3.org/2001/XMLSchema-instance" xsi:type="dcterms:W3CDTF">2026-10-23T10:32:11Z</dcterms:modified>
</cp:coreProperties>
</file>